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125" windowHeight="10350" tabRatio="500" firstSheet="5" activeTab="5" autoFilterDateGrouping="1"/>
  </bookViews>
  <sheets>
    <sheet name="Instrucciones" sheetId="1" state="visible" r:id="rId1"/>
    <sheet name="Costos Fijos" sheetId="2" state="visible" r:id="rId2"/>
    <sheet name="Capital Aportado" sheetId="3" state="visible" r:id="rId3"/>
    <sheet name="Costos Generales" sheetId="4" state="visible" r:id="rId4"/>
    <sheet name="Recetas Pollo" sheetId="5" state="visible" r:id="rId5"/>
    <sheet name="Recetas Vaca" sheetId="6" state="visible" r:id="rId6"/>
    <sheet name="Recetas Cerdo" sheetId="7" state="visible" r:id="rId7"/>
    <sheet name="Precios y Márgenes" sheetId="8" state="visible" r:id="rId8"/>
    <sheet name="Punto de Equilibrio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"/>
    <numFmt numFmtId="166" formatCode="\$#,##0.00;&quot;($&quot;#,##0.00\);\-"/>
    <numFmt numFmtId="167" formatCode="0.0%"/>
    <numFmt numFmtId="168" formatCode="0.000"/>
  </numFmts>
  <fonts count="2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sz val="12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b val="1"/>
      <color rgb="FF000000"/>
      <sz val="11"/>
    </font>
    <font>
      <name val="Arial"/>
      <charset val="1"/>
      <b val="1"/>
      <color rgb="FFFFFFFF"/>
      <sz val="11"/>
    </font>
    <font>
      <name val="Arial"/>
      <charset val="1"/>
      <color rgb="FF000000"/>
      <sz val="11"/>
    </font>
    <font>
      <name val="Arial"/>
      <charset val="1"/>
      <color rgb="FF0000FF"/>
      <sz val="11"/>
    </font>
    <font>
      <name val="Arial"/>
      <charset val="1"/>
      <i val="1"/>
      <color rgb="FF808080"/>
      <sz val="9"/>
    </font>
    <font>
      <name val="Arial"/>
      <charset val="1"/>
      <b val="1"/>
      <i val="1"/>
      <color rgb="FFC00000"/>
      <sz val="10"/>
    </font>
    <font>
      <name val="Arial"/>
      <b val="1"/>
      <color rgb="FFFFFFFF"/>
      <sz val="14"/>
    </font>
    <font>
      <name val="Arial"/>
      <i val="1"/>
      <color rgb="FF808080"/>
      <sz val="9"/>
    </font>
    <font>
      <name val="Arial"/>
      <b val="1"/>
      <color rgb="FFFFFFFF"/>
      <sz val="12"/>
    </font>
    <font>
      <name val="Calibri"/>
      <color theme="1"/>
      <sz val="11"/>
    </font>
    <font>
      <name val="Arial"/>
      <b val="1"/>
      <color rgb="FF000000"/>
      <sz val="11"/>
    </font>
    <font>
      <name val="Arial"/>
      <b val="1"/>
      <color rgb="FFFFFFFF"/>
      <sz val="11"/>
    </font>
    <font>
      <name val="Arial"/>
      <color rgb="FF000000"/>
      <sz val="11"/>
    </font>
    <font>
      <name val="Arial"/>
      <color rgb="FF0000FF"/>
      <sz val="11"/>
    </font>
    <font>
      <name val="Arial"/>
      <b val="1"/>
      <i val="1"/>
      <sz val="9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7F1416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  <fill>
      <patternFill patternType="solid">
        <fgColor rgb="FFFCE4D6"/>
        <bgColor rgb="FFE2EFDA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548235"/>
        <bgColor rgb="FF339966"/>
      </patternFill>
    </fill>
    <fill>
      <patternFill patternType="solid">
        <fgColor rgb="FFC6E0B4"/>
        <bgColor rgb="FFE2EFDA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7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8" fillId="3" borderId="1" pivotButton="0" quotePrefix="0" xfId="0"/>
    <xf numFmtId="0" fontId="9" fillId="0" borderId="1" pivotButton="0" quotePrefix="0" xfId="0"/>
    <xf numFmtId="0" fontId="8" fillId="3" borderId="1" pivotButton="0" quotePrefix="0" xfId="0"/>
    <xf numFmtId="165" fontId="8" fillId="3" borderId="1" pivotButton="0" quotePrefix="0" xfId="0"/>
    <xf numFmtId="164" fontId="7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5" fillId="7" borderId="1" pivotButton="0" quotePrefix="0" xfId="0"/>
    <xf numFmtId="164" fontId="5" fillId="7" borderId="1" pivotButton="0" quotePrefix="0" xfId="0"/>
    <xf numFmtId="0" fontId="5" fillId="7" borderId="1" applyAlignment="1" pivotButton="0" quotePrefix="0" xfId="0">
      <alignment horizontal="center"/>
    </xf>
    <xf numFmtId="166" fontId="5" fillId="4" borderId="1" pivotButton="0" quotePrefix="0" xfId="0"/>
    <xf numFmtId="2" fontId="8" fillId="3" borderId="1" pivotButton="0" quotePrefix="0" xfId="0"/>
    <xf numFmtId="166" fontId="8" fillId="3" borderId="1" pivotButton="0" quotePrefix="0" xfId="0"/>
    <xf numFmtId="166" fontId="7" fillId="0" borderId="1" pivotButton="0" quotePrefix="0" xfId="0"/>
    <xf numFmtId="167" fontId="8" fillId="3" borderId="1" pivotButton="0" quotePrefix="0" xfId="0"/>
    <xf numFmtId="166" fontId="15" fillId="4" borderId="5" pivotButton="0" quotePrefix="0" xfId="0"/>
    <xf numFmtId="0" fontId="14" fillId="0" borderId="4" pivotButton="0" quotePrefix="0" xfId="0"/>
    <xf numFmtId="0" fontId="16" fillId="6" borderId="5" applyAlignment="1" pivotButton="0" quotePrefix="0" xfId="0">
      <alignment horizontal="center" vertical="center" wrapText="1"/>
    </xf>
    <xf numFmtId="0" fontId="17" fillId="0" borderId="5" pivotButton="0" quotePrefix="0" xfId="0"/>
    <xf numFmtId="2" fontId="18" fillId="3" borderId="5" pivotButton="0" quotePrefix="0" xfId="0"/>
    <xf numFmtId="166" fontId="18" fillId="3" borderId="5" pivotButton="0" quotePrefix="0" xfId="0"/>
    <xf numFmtId="166" fontId="17" fillId="0" borderId="5" pivotButton="0" quotePrefix="0" xfId="0"/>
    <xf numFmtId="0" fontId="19" fillId="0" borderId="5" pivotButton="0" quotePrefix="0" xfId="0"/>
    <xf numFmtId="1" fontId="18" fillId="3" borderId="5" pivotButton="0" quotePrefix="0" xfId="0"/>
    <xf numFmtId="0" fontId="14" fillId="0" borderId="5" pivotButton="0" quotePrefix="0" xfId="0"/>
    <xf numFmtId="165" fontId="17" fillId="0" borderId="5" pivotButton="0" quotePrefix="0" xfId="0"/>
    <xf numFmtId="0" fontId="18" fillId="3" borderId="5" pivotButton="0" quotePrefix="0" xfId="0"/>
    <xf numFmtId="0" fontId="15" fillId="5" borderId="5" pivotButton="0" quotePrefix="0" xfId="0"/>
    <xf numFmtId="166" fontId="15" fillId="5" borderId="5" pivotButton="0" quotePrefix="0" xfId="0"/>
    <xf numFmtId="168" fontId="18" fillId="3" borderId="5" pivotButton="0" quotePrefix="0" xfId="0"/>
    <xf numFmtId="2" fontId="17" fillId="0" borderId="5" pivotButton="0" quotePrefix="0" xfId="0"/>
    <xf numFmtId="0" fontId="15" fillId="9" borderId="5" pivotButton="0" quotePrefix="0" xfId="0"/>
    <xf numFmtId="166" fontId="15" fillId="9" borderId="5" pivotButton="0" quotePrefix="0" xfId="0"/>
    <xf numFmtId="0" fontId="20" fillId="0" borderId="5" pivotButton="0" quotePrefix="0" xfId="0"/>
    <xf numFmtId="0" fontId="21" fillId="3" borderId="1" pivotButton="0" quotePrefix="0" xfId="0"/>
    <xf numFmtId="0" fontId="21" fillId="0" borderId="1" pivotButton="0" quotePrefix="0" xfId="0"/>
    <xf numFmtId="164" fontId="21" fillId="3" borderId="1" pivotButton="0" quotePrefix="0" xfId="0"/>
    <xf numFmtId="167" fontId="5" fillId="5" borderId="1" pivotButton="0" quotePrefix="0" xfId="0"/>
    <xf numFmtId="0" fontId="7" fillId="0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5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3" fillId="8" borderId="4" applyAlignment="1" pivotButton="0" quotePrefix="0" xfId="0">
      <alignment horizontal="left" vertical="center"/>
    </xf>
    <xf numFmtId="0" fontId="0" fillId="0" borderId="0" pivotButton="0" quotePrefix="0" xfId="0"/>
    <xf numFmtId="0" fontId="15" fillId="4" borderId="5" pivotButton="0" quotePrefix="0" xfId="0"/>
    <xf numFmtId="0" fontId="11" fillId="2" borderId="4" applyAlignment="1" pivotButton="0" quotePrefix="0" xfId="0">
      <alignment horizontal="left" vertical="center"/>
    </xf>
    <xf numFmtId="0" fontId="12" fillId="0" borderId="4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center" indent="1"/>
    </xf>
    <xf numFmtId="0" fontId="4" fillId="0" borderId="4" applyAlignment="1" pivotButton="0" quotePrefix="0" xfId="0">
      <alignment vertical="center" wrapText="1"/>
    </xf>
    <xf numFmtId="0" fontId="10" fillId="0" borderId="4" pivotButton="0" quotePrefix="0" xfId="0"/>
    <xf numFmtId="0" fontId="5" fillId="4" borderId="5" pivotButton="0" quotePrefix="0" xfId="0"/>
    <xf numFmtId="0" fontId="9" fillId="0" borderId="4" pivotButton="0" quotePrefix="0" xfId="0"/>
    <xf numFmtId="0" fontId="9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1416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zoomScaleNormal="100" workbookViewId="0">
      <selection activeCell="A1" sqref="A1:F1"/>
    </sheetView>
  </sheetViews>
  <sheetFormatPr baseColWidth="10" defaultColWidth="8.7109375" defaultRowHeight="15"/>
  <cols>
    <col width="30" customWidth="1" style="62" min="1" max="1"/>
    <col width="40" customWidth="1" style="62" min="2" max="2"/>
    <col width="20" customWidth="1" style="62" min="3" max="6"/>
  </cols>
  <sheetData>
    <row r="1" ht="27.75" customHeight="1" s="62">
      <c r="A1" s="68" t="inlineStr">
        <is>
          <t>Estructura de Costos — Milanesería</t>
        </is>
      </c>
    </row>
    <row r="3" ht="15" customHeight="1" s="62">
      <c r="A3" s="3" t="inlineStr">
        <is>
          <t>Cómo usar esta planilla</t>
        </is>
      </c>
    </row>
    <row r="5" ht="33.75" customHeight="1" s="62">
      <c r="A5" s="4" t="inlineStr">
        <is>
          <t>1.</t>
        </is>
      </c>
      <c r="B5" s="69" t="inlineStr">
        <is>
          <t>Cada milanesa tiene su propia receta en la hoja 'Recetas', con sus insumos específicos (cantidades pensadas para 1 kg de carne cruda). Hay filas libres por si sumás ingredientes.</t>
        </is>
      </c>
    </row>
    <row r="6" ht="33.75" customHeight="1" s="62">
      <c r="A6" s="4" t="inlineStr">
        <is>
          <t>2.</t>
        </is>
      </c>
      <c r="B6" s="69" t="inlineStr">
        <is>
          <t>Los costos que comparten TODAS las milanesas (huevo, sal, envasado, comisión, descarte) están en 'Costos Generales' — se suman automáticamente al costo de cada receta.</t>
        </is>
      </c>
    </row>
    <row r="7" ht="33.75" customHeight="1" s="62">
      <c r="A7" s="4" t="inlineStr">
        <is>
          <t>3.</t>
        </is>
      </c>
      <c r="B7" s="69" t="inlineStr">
        <is>
          <t>En cada receta cargás el 'Peso final del lote rebozado' (ej: 1 kg de carne + empanado rinde entre 1,30 kg y 1,40 kg de milanesas, ¡un 30% a 40% más de peso!). De ahí se calculan las unidades reales por lote.</t>
        </is>
      </c>
    </row>
    <row r="8" ht="33.75" customHeight="1" s="62">
      <c r="A8" s="4" t="inlineStr">
        <is>
          <t>4.</t>
        </is>
      </c>
      <c r="B8" s="69" t="inlineStr">
        <is>
          <t>El 'Costo Final por Milanesa' de cada receta (celda verde) se linkea solo a 'Precios y Márgenes' — ahí cargás el precio de venta de cada una.</t>
        </is>
      </c>
    </row>
    <row r="9" ht="33.75" customHeight="1" s="62">
      <c r="A9" s="4" t="inlineStr">
        <is>
          <t>5.</t>
        </is>
      </c>
      <c r="B9" s="69" t="inlineStr">
        <is>
          <t>Cuando agregues una receta nueva, pasámela y te armo el bloque en 'Recetas' + su fila en 'Precios y Márgenes'.</t>
        </is>
      </c>
    </row>
    <row r="11" ht="15" customHeight="1" s="62">
      <c r="A11" s="3" t="inlineStr">
        <is>
          <t>Referencia de colores</t>
        </is>
      </c>
    </row>
    <row r="13" ht="15" customHeight="1" s="62">
      <c r="A13" s="5" t="inlineStr">
        <is>
          <t>  </t>
        </is>
      </c>
      <c r="B13" s="6" t="inlineStr">
        <is>
          <t>Celda para completar (dato tuyo)</t>
        </is>
      </c>
    </row>
    <row r="14" ht="15" customHeight="1" s="62">
      <c r="A14" s="7" t="inlineStr">
        <is>
          <t>  </t>
        </is>
      </c>
      <c r="B14" s="6" t="inlineStr">
        <is>
          <t>Total fijo de una lista (siempre arriba, no se mueve)</t>
        </is>
      </c>
    </row>
    <row r="15" ht="15" customHeight="1" s="62">
      <c r="A15" s="8" t="inlineStr">
        <is>
          <t>  </t>
        </is>
      </c>
      <c r="B15" s="6" t="inlineStr">
        <is>
          <t>Celda calculada con fórmula (no tocar)</t>
        </is>
      </c>
    </row>
    <row r="16" ht="15" customHeight="1" s="62">
      <c r="A16" s="9" t="inlineStr">
        <is>
          <t>  </t>
        </is>
      </c>
      <c r="B16" s="6" t="inlineStr">
        <is>
          <t>Totales / resultados clave generales</t>
        </is>
      </c>
    </row>
  </sheetData>
  <mergeCells count="6">
    <mergeCell ref="B7:F7"/>
    <mergeCell ref="B6:F6"/>
    <mergeCell ref="A1:F1"/>
    <mergeCell ref="B5:F5"/>
    <mergeCell ref="B8:F8"/>
    <mergeCell ref="B9:F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5"/>
  <sheetViews>
    <sheetView showGridLines="0" zoomScaleNormal="100" workbookViewId="0">
      <pane ySplit="5" topLeftCell="A6" activePane="bottomLeft" state="frozen"/>
      <selection pane="bottomLeft" activeCell="A1" sqref="A1:C1"/>
    </sheetView>
  </sheetViews>
  <sheetFormatPr baseColWidth="10" defaultColWidth="8.7109375" defaultRowHeight="15"/>
  <cols>
    <col width="30" customWidth="1" style="62" min="1" max="1"/>
    <col width="18" customWidth="1" style="62" min="2" max="2"/>
    <col width="42" customWidth="1" style="62" min="3" max="3"/>
  </cols>
  <sheetData>
    <row r="1" ht="25.5" customHeight="1" s="62">
      <c r="A1" s="68" t="inlineStr">
        <is>
          <t>Costos Fijos Mensuales</t>
        </is>
      </c>
    </row>
    <row r="3" ht="24" customHeight="1" s="62">
      <c r="A3" s="58" t="inlineStr">
        <is>
          <t>TOTAL COSTOS FIJOS MENSUALES</t>
        </is>
      </c>
      <c r="B3" s="11">
        <f>SUM(B6:B205)</f>
        <v/>
      </c>
      <c r="C3" s="7" t="n"/>
    </row>
    <row r="5" ht="27.75" customHeight="1" s="62">
      <c r="A5" s="12" t="inlineStr">
        <is>
          <t>Concepto</t>
        </is>
      </c>
      <c r="B5" s="12" t="inlineStr">
        <is>
          <t>Costo Mensual</t>
        </is>
      </c>
      <c r="C5" s="12" t="inlineStr">
        <is>
          <t>Notas</t>
        </is>
      </c>
    </row>
    <row r="6" ht="15" customHeight="1" s="62">
      <c r="A6" s="13" t="inlineStr">
        <is>
          <t>Alquiler</t>
        </is>
      </c>
      <c r="B6" s="14" t="n">
        <v>400000</v>
      </c>
      <c r="C6" s="15" t="n"/>
    </row>
    <row r="7" ht="15" customHeight="1" s="62">
      <c r="A7" s="13" t="inlineStr">
        <is>
          <t>Expensas / ABL</t>
        </is>
      </c>
      <c r="B7" s="14" t="n">
        <v>60000</v>
      </c>
      <c r="C7" s="15" t="n"/>
    </row>
    <row r="8" ht="15" customHeight="1" s="62">
      <c r="A8" s="13" t="inlineStr">
        <is>
          <t>Luz</t>
        </is>
      </c>
      <c r="B8" s="14" t="n">
        <v>90000</v>
      </c>
      <c r="C8" s="15" t="n"/>
    </row>
    <row r="9" ht="15" customHeight="1" s="62">
      <c r="A9" s="13" t="inlineStr">
        <is>
          <t>Gas</t>
        </is>
      </c>
      <c r="B9" s="14" t="n">
        <v>70000</v>
      </c>
      <c r="C9" s="15" t="inlineStr">
        <is>
          <t>Puede ser alto si usás freidora a gas</t>
        </is>
      </c>
    </row>
    <row r="10" ht="15" customHeight="1" s="62">
      <c r="A10" s="13" t="inlineStr">
        <is>
          <t>Agua</t>
        </is>
      </c>
      <c r="B10" s="14" t="n">
        <v>15000</v>
      </c>
      <c r="C10" s="15" t="n"/>
    </row>
    <row r="11" ht="15" customHeight="1" s="62">
      <c r="A11" s="13" t="inlineStr">
        <is>
          <t>Internet</t>
        </is>
      </c>
      <c r="B11" s="14" t="n">
        <v>25000</v>
      </c>
      <c r="C11" s="15" t="n"/>
    </row>
    <row r="12" ht="15" customHeight="1" s="62">
      <c r="A12" s="13" t="inlineStr">
        <is>
          <t>Sueldos fijos</t>
        </is>
      </c>
      <c r="B12" s="14" t="n">
        <v>900000</v>
      </c>
      <c r="C12" s="15" t="inlineStr">
        <is>
          <t>Personal en relación de dependencia</t>
        </is>
      </c>
    </row>
    <row r="13" ht="15" customHeight="1" s="62">
      <c r="A13" s="13" t="inlineStr">
        <is>
          <t>Monotributo / Impuestos</t>
        </is>
      </c>
      <c r="B13" s="14" t="n">
        <v>80000</v>
      </c>
      <c r="C13" s="15" t="n"/>
    </row>
    <row r="14" ht="15" customHeight="1" s="62">
      <c r="A14" s="13" t="inlineStr">
        <is>
          <t>Contador</t>
        </is>
      </c>
      <c r="B14" s="14" t="n">
        <v>60000</v>
      </c>
      <c r="C14" s="15" t="n"/>
    </row>
    <row r="15" ht="15" customHeight="1" s="62">
      <c r="A15" s="13" t="inlineStr">
        <is>
          <t>Seguro del local</t>
        </is>
      </c>
      <c r="B15" s="14" t="n">
        <v>20000</v>
      </c>
      <c r="C15" s="15" t="n"/>
    </row>
    <row r="16" ht="15" customHeight="1" s="62">
      <c r="A16" s="13" t="inlineStr">
        <is>
          <t>Matafuegos / Fumigación</t>
        </is>
      </c>
      <c r="B16" s="14" t="n">
        <v>15000</v>
      </c>
      <c r="C16" s="15" t="inlineStr">
        <is>
          <t>Prorrateado mensual si se paga anual</t>
        </is>
      </c>
    </row>
    <row r="17" ht="15" customHeight="1" s="62">
      <c r="A17" s="13" t="inlineStr">
        <is>
          <t>Otros</t>
        </is>
      </c>
      <c r="B17" s="14" t="n">
        <v>30000</v>
      </c>
      <c r="C17" s="15" t="n"/>
    </row>
    <row r="18" ht="15" customHeight="1" s="62">
      <c r="A18" s="16" t="n"/>
      <c r="B18" s="14" t="n"/>
      <c r="C18" s="8" t="n"/>
    </row>
    <row r="19" ht="15" customHeight="1" s="62">
      <c r="A19" s="16" t="n"/>
      <c r="B19" s="14" t="n"/>
      <c r="C19" s="8" t="n"/>
    </row>
    <row r="20" ht="15" customHeight="1" s="62">
      <c r="A20" s="16" t="n"/>
      <c r="B20" s="14" t="n"/>
      <c r="C20" s="8" t="n"/>
    </row>
    <row r="21" ht="15" customHeight="1" s="62">
      <c r="A21" s="16" t="n"/>
      <c r="B21" s="14" t="n"/>
      <c r="C21" s="8" t="n"/>
    </row>
    <row r="22" ht="15" customHeight="1" s="62">
      <c r="A22" s="16" t="n"/>
      <c r="B22" s="14" t="n"/>
      <c r="C22" s="8" t="n"/>
    </row>
    <row r="23" ht="15" customHeight="1" s="62">
      <c r="A23" s="16" t="n"/>
      <c r="B23" s="14" t="n"/>
      <c r="C23" s="8" t="n"/>
    </row>
    <row r="24" ht="15" customHeight="1" s="62">
      <c r="A24" s="16" t="n"/>
      <c r="B24" s="14" t="n"/>
      <c r="C24" s="8" t="n"/>
    </row>
    <row r="25" ht="15" customHeight="1" s="62">
      <c r="A25" s="16" t="n"/>
      <c r="B25" s="14" t="n"/>
      <c r="C25" s="8" t="n"/>
    </row>
    <row r="26" ht="15" customHeight="1" s="62">
      <c r="A26" s="16" t="n"/>
      <c r="B26" s="14" t="n"/>
      <c r="C26" s="8" t="n"/>
    </row>
    <row r="27" ht="15" customHeight="1" s="62">
      <c r="A27" s="16" t="n"/>
      <c r="B27" s="14" t="n"/>
      <c r="C27" s="8" t="n"/>
    </row>
    <row r="28" ht="15" customHeight="1" s="62">
      <c r="A28" s="16" t="n"/>
      <c r="B28" s="14" t="n"/>
      <c r="C28" s="8" t="n"/>
    </row>
    <row r="29" ht="15" customHeight="1" s="62">
      <c r="A29" s="16" t="n"/>
      <c r="B29" s="14" t="n"/>
      <c r="C29" s="8" t="n"/>
    </row>
    <row r="30" ht="15" customHeight="1" s="62">
      <c r="A30" s="16" t="n"/>
      <c r="B30" s="14" t="n"/>
      <c r="C30" s="8" t="n"/>
    </row>
    <row r="31" ht="15" customHeight="1" s="62">
      <c r="A31" s="16" t="n"/>
      <c r="B31" s="14" t="n"/>
      <c r="C31" s="8" t="n"/>
    </row>
    <row r="32" ht="15" customHeight="1" s="62">
      <c r="A32" s="16" t="n"/>
      <c r="B32" s="14" t="n"/>
      <c r="C32" s="8" t="n"/>
    </row>
    <row r="33" ht="15" customHeight="1" s="62">
      <c r="A33" s="16" t="n"/>
      <c r="B33" s="14" t="n"/>
      <c r="C33" s="8" t="n"/>
    </row>
    <row r="34" ht="15" customHeight="1" s="62">
      <c r="A34" s="16" t="n"/>
      <c r="B34" s="14" t="n"/>
      <c r="C34" s="8" t="n"/>
    </row>
    <row r="35" ht="15" customHeight="1" s="62">
      <c r="A35" s="16" t="n"/>
      <c r="B35" s="14" t="n"/>
      <c r="C35" s="8" t="n"/>
    </row>
    <row r="36" ht="15" customHeight="1" s="62">
      <c r="A36" s="16" t="n"/>
      <c r="B36" s="14" t="n"/>
      <c r="C36" s="8" t="n"/>
    </row>
    <row r="37" ht="15" customHeight="1" s="62">
      <c r="A37" s="16" t="n"/>
      <c r="B37" s="14" t="n"/>
      <c r="C37" s="8" t="n"/>
    </row>
    <row r="38" ht="15" customHeight="1" s="62">
      <c r="A38" s="16" t="n"/>
      <c r="B38" s="14" t="n"/>
      <c r="C38" s="8" t="n"/>
    </row>
    <row r="39" ht="15" customHeight="1" s="62">
      <c r="A39" s="16" t="n"/>
      <c r="B39" s="14" t="n"/>
      <c r="C39" s="8" t="n"/>
    </row>
    <row r="40" ht="15" customHeight="1" s="62">
      <c r="A40" s="16" t="n"/>
      <c r="B40" s="14" t="n"/>
      <c r="C40" s="8" t="n"/>
    </row>
    <row r="41" ht="15" customHeight="1" s="62">
      <c r="A41" s="16" t="n"/>
      <c r="B41" s="14" t="n"/>
      <c r="C41" s="8" t="n"/>
    </row>
    <row r="42" ht="15" customHeight="1" s="62">
      <c r="A42" s="16" t="n"/>
      <c r="B42" s="14" t="n"/>
      <c r="C42" s="8" t="n"/>
    </row>
    <row r="43" ht="15" customHeight="1" s="62">
      <c r="A43" s="16" t="n"/>
      <c r="B43" s="14" t="n"/>
      <c r="C43" s="8" t="n"/>
    </row>
    <row r="44" ht="15" customHeight="1" s="62">
      <c r="A44" s="16" t="n"/>
      <c r="B44" s="14" t="n"/>
      <c r="C44" s="8" t="n"/>
    </row>
    <row r="45" ht="15" customHeight="1" s="62">
      <c r="A45" s="16" t="n"/>
      <c r="B45" s="14" t="n"/>
      <c r="C45" s="8" t="n"/>
    </row>
    <row r="46" ht="15" customHeight="1" s="62">
      <c r="A46" s="16" t="n"/>
      <c r="B46" s="14" t="n"/>
      <c r="C46" s="8" t="n"/>
    </row>
    <row r="47" ht="15" customHeight="1" s="62">
      <c r="A47" s="16" t="n"/>
      <c r="B47" s="14" t="n"/>
      <c r="C47" s="8" t="n"/>
    </row>
    <row r="48" ht="15" customHeight="1" s="62">
      <c r="A48" s="16" t="n"/>
      <c r="B48" s="14" t="n"/>
      <c r="C48" s="8" t="n"/>
    </row>
    <row r="49" ht="15" customHeight="1" s="62">
      <c r="A49" s="16" t="n"/>
      <c r="B49" s="14" t="n"/>
      <c r="C49" s="8" t="n"/>
    </row>
    <row r="50" ht="15" customHeight="1" s="62">
      <c r="A50" s="16" t="n"/>
      <c r="B50" s="14" t="n"/>
      <c r="C50" s="8" t="n"/>
    </row>
    <row r="51" ht="15" customHeight="1" s="62">
      <c r="A51" s="16" t="n"/>
      <c r="B51" s="14" t="n"/>
      <c r="C51" s="8" t="n"/>
    </row>
    <row r="52" ht="15" customHeight="1" s="62">
      <c r="A52" s="16" t="n"/>
      <c r="B52" s="14" t="n"/>
      <c r="C52" s="8" t="n"/>
    </row>
    <row r="53" ht="15" customHeight="1" s="62">
      <c r="A53" s="16" t="n"/>
      <c r="B53" s="14" t="n"/>
      <c r="C53" s="8" t="n"/>
    </row>
    <row r="54" ht="15" customHeight="1" s="62">
      <c r="A54" s="16" t="n"/>
      <c r="B54" s="14" t="n"/>
      <c r="C54" s="8" t="n"/>
    </row>
    <row r="55" ht="15" customHeight="1" s="62">
      <c r="A55" s="16" t="n"/>
      <c r="B55" s="14" t="n"/>
      <c r="C55" s="8" t="n"/>
    </row>
    <row r="56" ht="15" customHeight="1" s="62">
      <c r="A56" s="16" t="n"/>
      <c r="B56" s="14" t="n"/>
      <c r="C56" s="8" t="n"/>
    </row>
    <row r="57" ht="15" customHeight="1" s="62">
      <c r="A57" s="16" t="n"/>
      <c r="B57" s="14" t="n"/>
      <c r="C57" s="8" t="n"/>
    </row>
    <row r="58" ht="15" customHeight="1" s="62">
      <c r="A58" s="16" t="n"/>
      <c r="B58" s="14" t="n"/>
      <c r="C58" s="8" t="n"/>
    </row>
    <row r="59" ht="15" customHeight="1" s="62">
      <c r="A59" s="16" t="n"/>
      <c r="B59" s="14" t="n"/>
      <c r="C59" s="8" t="n"/>
    </row>
    <row r="60" ht="15" customHeight="1" s="62">
      <c r="A60" s="16" t="n"/>
      <c r="B60" s="14" t="n"/>
      <c r="C60" s="8" t="n"/>
    </row>
    <row r="61" ht="15" customHeight="1" s="62">
      <c r="A61" s="16" t="n"/>
      <c r="B61" s="14" t="n"/>
      <c r="C61" s="8" t="n"/>
    </row>
    <row r="62" ht="15" customHeight="1" s="62">
      <c r="A62" s="16" t="n"/>
      <c r="B62" s="14" t="n"/>
      <c r="C62" s="8" t="n"/>
    </row>
    <row r="63" ht="15" customHeight="1" s="62">
      <c r="A63" s="16" t="n"/>
      <c r="B63" s="14" t="n"/>
      <c r="C63" s="8" t="n"/>
    </row>
    <row r="64" ht="15" customHeight="1" s="62">
      <c r="A64" s="16" t="n"/>
      <c r="B64" s="14" t="n"/>
      <c r="C64" s="8" t="n"/>
    </row>
    <row r="65" ht="15" customHeight="1" s="62">
      <c r="A65" s="16" t="n"/>
      <c r="B65" s="14" t="n"/>
      <c r="C65" s="8" t="n"/>
    </row>
    <row r="66" ht="15" customHeight="1" s="62">
      <c r="A66" s="16" t="n"/>
      <c r="B66" s="14" t="n"/>
      <c r="C66" s="8" t="n"/>
    </row>
    <row r="67" ht="15" customHeight="1" s="62">
      <c r="A67" s="16" t="n"/>
      <c r="B67" s="14" t="n"/>
      <c r="C67" s="8" t="n"/>
    </row>
    <row r="68" ht="15" customHeight="1" s="62">
      <c r="A68" s="16" t="n"/>
      <c r="B68" s="14" t="n"/>
      <c r="C68" s="8" t="n"/>
    </row>
    <row r="69" ht="15" customHeight="1" s="62">
      <c r="A69" s="16" t="n"/>
      <c r="B69" s="14" t="n"/>
      <c r="C69" s="8" t="n"/>
    </row>
    <row r="70" ht="15" customHeight="1" s="62">
      <c r="A70" s="16" t="n"/>
      <c r="B70" s="14" t="n"/>
      <c r="C70" s="8" t="n"/>
    </row>
    <row r="71" ht="15" customHeight="1" s="62">
      <c r="A71" s="16" t="n"/>
      <c r="B71" s="14" t="n"/>
      <c r="C71" s="8" t="n"/>
    </row>
    <row r="72" ht="15" customHeight="1" s="62">
      <c r="A72" s="16" t="n"/>
      <c r="B72" s="14" t="n"/>
      <c r="C72" s="8" t="n"/>
    </row>
    <row r="73" ht="15" customHeight="1" s="62">
      <c r="A73" s="16" t="n"/>
      <c r="B73" s="14" t="n"/>
      <c r="C73" s="8" t="n"/>
    </row>
    <row r="74" ht="15" customHeight="1" s="62">
      <c r="A74" s="16" t="n"/>
      <c r="B74" s="14" t="n"/>
      <c r="C74" s="8" t="n"/>
    </row>
    <row r="75" ht="15" customHeight="1" s="62">
      <c r="A75" s="16" t="n"/>
      <c r="B75" s="14" t="n"/>
      <c r="C75" s="8" t="n"/>
    </row>
    <row r="76" ht="15" customHeight="1" s="62">
      <c r="A76" s="16" t="n"/>
      <c r="B76" s="14" t="n"/>
      <c r="C76" s="8" t="n"/>
    </row>
    <row r="77" ht="15" customHeight="1" s="62">
      <c r="A77" s="16" t="n"/>
      <c r="B77" s="14" t="n"/>
      <c r="C77" s="8" t="n"/>
    </row>
    <row r="78" ht="15" customHeight="1" s="62">
      <c r="A78" s="16" t="n"/>
      <c r="B78" s="14" t="n"/>
      <c r="C78" s="8" t="n"/>
    </row>
    <row r="79" ht="15" customHeight="1" s="62">
      <c r="A79" s="16" t="n"/>
      <c r="B79" s="14" t="n"/>
      <c r="C79" s="8" t="n"/>
    </row>
    <row r="80" ht="15" customHeight="1" s="62">
      <c r="A80" s="16" t="n"/>
      <c r="B80" s="14" t="n"/>
      <c r="C80" s="8" t="n"/>
    </row>
    <row r="81" ht="15" customHeight="1" s="62">
      <c r="A81" s="16" t="n"/>
      <c r="B81" s="14" t="n"/>
      <c r="C81" s="8" t="n"/>
    </row>
    <row r="82" ht="15" customHeight="1" s="62">
      <c r="A82" s="16" t="n"/>
      <c r="B82" s="14" t="n"/>
      <c r="C82" s="8" t="n"/>
    </row>
    <row r="83" ht="15" customHeight="1" s="62">
      <c r="A83" s="16" t="n"/>
      <c r="B83" s="14" t="n"/>
      <c r="C83" s="8" t="n"/>
    </row>
    <row r="84" ht="15" customHeight="1" s="62">
      <c r="A84" s="16" t="n"/>
      <c r="B84" s="14" t="n"/>
      <c r="C84" s="8" t="n"/>
    </row>
    <row r="85" ht="15" customHeight="1" s="62">
      <c r="A85" s="16" t="n"/>
      <c r="B85" s="14" t="n"/>
      <c r="C85" s="8" t="n"/>
    </row>
    <row r="86" ht="15" customHeight="1" s="62">
      <c r="A86" s="16" t="n"/>
      <c r="B86" s="14" t="n"/>
      <c r="C86" s="8" t="n"/>
    </row>
    <row r="87" ht="15" customHeight="1" s="62">
      <c r="A87" s="16" t="n"/>
      <c r="B87" s="14" t="n"/>
      <c r="C87" s="8" t="n"/>
    </row>
    <row r="88" ht="15" customHeight="1" s="62">
      <c r="A88" s="16" t="n"/>
      <c r="B88" s="14" t="n"/>
      <c r="C88" s="8" t="n"/>
    </row>
    <row r="89" ht="15" customHeight="1" s="62">
      <c r="A89" s="16" t="n"/>
      <c r="B89" s="14" t="n"/>
      <c r="C89" s="8" t="n"/>
    </row>
    <row r="90" ht="15" customHeight="1" s="62">
      <c r="A90" s="16" t="n"/>
      <c r="B90" s="14" t="n"/>
      <c r="C90" s="8" t="n"/>
    </row>
    <row r="91" ht="15" customHeight="1" s="62">
      <c r="A91" s="16" t="n"/>
      <c r="B91" s="14" t="n"/>
      <c r="C91" s="8" t="n"/>
    </row>
    <row r="92" ht="15" customHeight="1" s="62">
      <c r="A92" s="16" t="n"/>
      <c r="B92" s="14" t="n"/>
      <c r="C92" s="8" t="n"/>
    </row>
    <row r="93" ht="15" customHeight="1" s="62">
      <c r="A93" s="16" t="n"/>
      <c r="B93" s="14" t="n"/>
      <c r="C93" s="8" t="n"/>
    </row>
    <row r="94" ht="15" customHeight="1" s="62">
      <c r="A94" s="16" t="n"/>
      <c r="B94" s="14" t="n"/>
      <c r="C94" s="8" t="n"/>
    </row>
    <row r="95" ht="15" customHeight="1" s="62">
      <c r="A95" s="16" t="n"/>
      <c r="B95" s="14" t="n"/>
      <c r="C95" s="8" t="n"/>
    </row>
    <row r="96" ht="15" customHeight="1" s="62">
      <c r="A96" s="16" t="n"/>
      <c r="B96" s="14" t="n"/>
      <c r="C96" s="8" t="n"/>
    </row>
    <row r="97" ht="15" customHeight="1" s="62">
      <c r="A97" s="16" t="n"/>
      <c r="B97" s="14" t="n"/>
      <c r="C97" s="8" t="n"/>
    </row>
    <row r="98" ht="15" customHeight="1" s="62">
      <c r="A98" s="16" t="n"/>
      <c r="B98" s="14" t="n"/>
      <c r="C98" s="8" t="n"/>
    </row>
    <row r="99" ht="15" customHeight="1" s="62">
      <c r="A99" s="16" t="n"/>
      <c r="B99" s="14" t="n"/>
      <c r="C99" s="8" t="n"/>
    </row>
    <row r="100" ht="15" customHeight="1" s="62">
      <c r="A100" s="16" t="n"/>
      <c r="B100" s="14" t="n"/>
      <c r="C100" s="8" t="n"/>
    </row>
    <row r="101" ht="15" customHeight="1" s="62">
      <c r="A101" s="16" t="n"/>
      <c r="B101" s="14" t="n"/>
      <c r="C101" s="8" t="n"/>
    </row>
    <row r="102" ht="15" customHeight="1" s="62">
      <c r="A102" s="16" t="n"/>
      <c r="B102" s="14" t="n"/>
      <c r="C102" s="8" t="n"/>
    </row>
    <row r="103" ht="15" customHeight="1" s="62">
      <c r="A103" s="16" t="n"/>
      <c r="B103" s="14" t="n"/>
      <c r="C103" s="8" t="n"/>
    </row>
    <row r="104" ht="15" customHeight="1" s="62">
      <c r="A104" s="16" t="n"/>
      <c r="B104" s="14" t="n"/>
      <c r="C104" s="8" t="n"/>
    </row>
    <row r="105" ht="15" customHeight="1" s="62">
      <c r="A105" s="16" t="n"/>
      <c r="B105" s="14" t="n"/>
      <c r="C105" s="8" t="n"/>
    </row>
    <row r="106" ht="15" customHeight="1" s="62">
      <c r="A106" s="16" t="n"/>
      <c r="B106" s="14" t="n"/>
      <c r="C106" s="8" t="n"/>
    </row>
    <row r="107" ht="15" customHeight="1" s="62">
      <c r="A107" s="16" t="n"/>
      <c r="B107" s="14" t="n"/>
      <c r="C107" s="8" t="n"/>
    </row>
    <row r="108" ht="15" customHeight="1" s="62">
      <c r="A108" s="16" t="n"/>
      <c r="B108" s="14" t="n"/>
      <c r="C108" s="8" t="n"/>
    </row>
    <row r="109" ht="15" customHeight="1" s="62">
      <c r="A109" s="16" t="n"/>
      <c r="B109" s="14" t="n"/>
      <c r="C109" s="8" t="n"/>
    </row>
    <row r="110" ht="15" customHeight="1" s="62">
      <c r="A110" s="16" t="n"/>
      <c r="B110" s="14" t="n"/>
      <c r="C110" s="8" t="n"/>
    </row>
    <row r="111" ht="15" customHeight="1" s="62">
      <c r="A111" s="16" t="n"/>
      <c r="B111" s="14" t="n"/>
      <c r="C111" s="8" t="n"/>
    </row>
    <row r="112" ht="15" customHeight="1" s="62">
      <c r="A112" s="16" t="n"/>
      <c r="B112" s="14" t="n"/>
      <c r="C112" s="8" t="n"/>
    </row>
    <row r="113" ht="15" customHeight="1" s="62">
      <c r="A113" s="16" t="n"/>
      <c r="B113" s="14" t="n"/>
      <c r="C113" s="8" t="n"/>
    </row>
    <row r="114" ht="15" customHeight="1" s="62">
      <c r="A114" s="16" t="n"/>
      <c r="B114" s="14" t="n"/>
      <c r="C114" s="8" t="n"/>
    </row>
    <row r="115" ht="15" customHeight="1" s="62">
      <c r="A115" s="16" t="n"/>
      <c r="B115" s="14" t="n"/>
      <c r="C115" s="8" t="n"/>
    </row>
    <row r="116" ht="15" customHeight="1" s="62">
      <c r="A116" s="16" t="n"/>
      <c r="B116" s="14" t="n"/>
      <c r="C116" s="8" t="n"/>
    </row>
    <row r="117" ht="15" customHeight="1" s="62">
      <c r="A117" s="16" t="n"/>
      <c r="B117" s="14" t="n"/>
      <c r="C117" s="8" t="n"/>
    </row>
    <row r="118" ht="15" customHeight="1" s="62">
      <c r="A118" s="16" t="n"/>
      <c r="B118" s="14" t="n"/>
      <c r="C118" s="8" t="n"/>
    </row>
    <row r="119" ht="15" customHeight="1" s="62">
      <c r="A119" s="16" t="n"/>
      <c r="B119" s="14" t="n"/>
      <c r="C119" s="8" t="n"/>
    </row>
    <row r="120" ht="15" customHeight="1" s="62">
      <c r="A120" s="16" t="n"/>
      <c r="B120" s="14" t="n"/>
      <c r="C120" s="8" t="n"/>
    </row>
    <row r="121" ht="15" customHeight="1" s="62">
      <c r="A121" s="16" t="n"/>
      <c r="B121" s="14" t="n"/>
      <c r="C121" s="8" t="n"/>
    </row>
    <row r="122" ht="15" customHeight="1" s="62">
      <c r="A122" s="16" t="n"/>
      <c r="B122" s="14" t="n"/>
      <c r="C122" s="8" t="n"/>
    </row>
    <row r="123" ht="15" customHeight="1" s="62">
      <c r="A123" s="16" t="n"/>
      <c r="B123" s="14" t="n"/>
      <c r="C123" s="8" t="n"/>
    </row>
    <row r="124" ht="15" customHeight="1" s="62">
      <c r="A124" s="16" t="n"/>
      <c r="B124" s="14" t="n"/>
      <c r="C124" s="8" t="n"/>
    </row>
    <row r="125" ht="15" customHeight="1" s="62">
      <c r="A125" s="16" t="n"/>
      <c r="B125" s="14" t="n"/>
      <c r="C125" s="8" t="n"/>
    </row>
    <row r="126" ht="15" customHeight="1" s="62">
      <c r="A126" s="16" t="n"/>
      <c r="B126" s="14" t="n"/>
      <c r="C126" s="8" t="n"/>
    </row>
    <row r="127" ht="15" customHeight="1" s="62">
      <c r="A127" s="16" t="n"/>
      <c r="B127" s="14" t="n"/>
      <c r="C127" s="8" t="n"/>
    </row>
    <row r="128" ht="15" customHeight="1" s="62">
      <c r="A128" s="16" t="n"/>
      <c r="B128" s="14" t="n"/>
      <c r="C128" s="8" t="n"/>
    </row>
    <row r="129" ht="15" customHeight="1" s="62">
      <c r="A129" s="16" t="n"/>
      <c r="B129" s="14" t="n"/>
      <c r="C129" s="8" t="n"/>
    </row>
    <row r="130" ht="15" customHeight="1" s="62">
      <c r="A130" s="16" t="n"/>
      <c r="B130" s="14" t="n"/>
      <c r="C130" s="8" t="n"/>
    </row>
    <row r="131" ht="15" customHeight="1" s="62">
      <c r="A131" s="16" t="n"/>
      <c r="B131" s="14" t="n"/>
      <c r="C131" s="8" t="n"/>
    </row>
    <row r="132" ht="15" customHeight="1" s="62">
      <c r="A132" s="16" t="n"/>
      <c r="B132" s="14" t="n"/>
      <c r="C132" s="8" t="n"/>
    </row>
    <row r="133" ht="15" customHeight="1" s="62">
      <c r="A133" s="16" t="n"/>
      <c r="B133" s="14" t="n"/>
      <c r="C133" s="8" t="n"/>
    </row>
    <row r="134" ht="15" customHeight="1" s="62">
      <c r="A134" s="16" t="n"/>
      <c r="B134" s="14" t="n"/>
      <c r="C134" s="8" t="n"/>
    </row>
    <row r="135" ht="15" customHeight="1" s="62">
      <c r="A135" s="16" t="n"/>
      <c r="B135" s="14" t="n"/>
      <c r="C135" s="8" t="n"/>
    </row>
    <row r="136" ht="15" customHeight="1" s="62">
      <c r="A136" s="16" t="n"/>
      <c r="B136" s="14" t="n"/>
      <c r="C136" s="8" t="n"/>
    </row>
    <row r="137" ht="15" customHeight="1" s="62">
      <c r="A137" s="16" t="n"/>
      <c r="B137" s="14" t="n"/>
      <c r="C137" s="8" t="n"/>
    </row>
    <row r="138" ht="15" customHeight="1" s="62">
      <c r="A138" s="16" t="n"/>
      <c r="B138" s="14" t="n"/>
      <c r="C138" s="8" t="n"/>
    </row>
    <row r="139" ht="15" customHeight="1" s="62">
      <c r="A139" s="16" t="n"/>
      <c r="B139" s="14" t="n"/>
      <c r="C139" s="8" t="n"/>
    </row>
    <row r="140" ht="15" customHeight="1" s="62">
      <c r="A140" s="16" t="n"/>
      <c r="B140" s="14" t="n"/>
      <c r="C140" s="8" t="n"/>
    </row>
    <row r="141" ht="15" customHeight="1" s="62">
      <c r="A141" s="16" t="n"/>
      <c r="B141" s="14" t="n"/>
      <c r="C141" s="8" t="n"/>
    </row>
    <row r="142" ht="15" customHeight="1" s="62">
      <c r="A142" s="16" t="n"/>
      <c r="B142" s="14" t="n"/>
      <c r="C142" s="8" t="n"/>
    </row>
    <row r="143" ht="15" customHeight="1" s="62">
      <c r="A143" s="16" t="n"/>
      <c r="B143" s="14" t="n"/>
      <c r="C143" s="8" t="n"/>
    </row>
    <row r="144" ht="15" customHeight="1" s="62">
      <c r="A144" s="16" t="n"/>
      <c r="B144" s="14" t="n"/>
      <c r="C144" s="8" t="n"/>
    </row>
    <row r="145" ht="15" customHeight="1" s="62">
      <c r="A145" s="16" t="n"/>
      <c r="B145" s="14" t="n"/>
      <c r="C145" s="8" t="n"/>
    </row>
    <row r="146" ht="15" customHeight="1" s="62">
      <c r="A146" s="16" t="n"/>
      <c r="B146" s="14" t="n"/>
      <c r="C146" s="8" t="n"/>
    </row>
    <row r="147" ht="15" customHeight="1" s="62">
      <c r="A147" s="16" t="n"/>
      <c r="B147" s="14" t="n"/>
      <c r="C147" s="8" t="n"/>
    </row>
    <row r="148" ht="15" customHeight="1" s="62">
      <c r="A148" s="16" t="n"/>
      <c r="B148" s="14" t="n"/>
      <c r="C148" s="8" t="n"/>
    </row>
    <row r="149" ht="15" customHeight="1" s="62">
      <c r="A149" s="16" t="n"/>
      <c r="B149" s="14" t="n"/>
      <c r="C149" s="8" t="n"/>
    </row>
    <row r="150" ht="15" customHeight="1" s="62">
      <c r="A150" s="16" t="n"/>
      <c r="B150" s="14" t="n"/>
      <c r="C150" s="8" t="n"/>
    </row>
    <row r="151" ht="15" customHeight="1" s="62">
      <c r="A151" s="16" t="n"/>
      <c r="B151" s="14" t="n"/>
      <c r="C151" s="8" t="n"/>
    </row>
    <row r="152" ht="15" customHeight="1" s="62">
      <c r="A152" s="16" t="n"/>
      <c r="B152" s="14" t="n"/>
      <c r="C152" s="8" t="n"/>
    </row>
    <row r="153" ht="15" customHeight="1" s="62">
      <c r="A153" s="16" t="n"/>
      <c r="B153" s="14" t="n"/>
      <c r="C153" s="8" t="n"/>
    </row>
    <row r="154" ht="15" customHeight="1" s="62">
      <c r="A154" s="16" t="n"/>
      <c r="B154" s="14" t="n"/>
      <c r="C154" s="8" t="n"/>
    </row>
    <row r="155" ht="15" customHeight="1" s="62">
      <c r="A155" s="16" t="n"/>
      <c r="B155" s="14" t="n"/>
      <c r="C155" s="8" t="n"/>
    </row>
    <row r="156" ht="15" customHeight="1" s="62">
      <c r="A156" s="16" t="n"/>
      <c r="B156" s="14" t="n"/>
      <c r="C156" s="8" t="n"/>
    </row>
    <row r="157" ht="15" customHeight="1" s="62">
      <c r="A157" s="16" t="n"/>
      <c r="B157" s="14" t="n"/>
      <c r="C157" s="8" t="n"/>
    </row>
    <row r="158" ht="15" customHeight="1" s="62">
      <c r="A158" s="16" t="n"/>
      <c r="B158" s="14" t="n"/>
      <c r="C158" s="8" t="n"/>
    </row>
    <row r="159" ht="15" customHeight="1" s="62">
      <c r="A159" s="16" t="n"/>
      <c r="B159" s="14" t="n"/>
      <c r="C159" s="8" t="n"/>
    </row>
    <row r="160" ht="15" customHeight="1" s="62">
      <c r="A160" s="16" t="n"/>
      <c r="B160" s="14" t="n"/>
      <c r="C160" s="8" t="n"/>
    </row>
    <row r="161" ht="15" customHeight="1" s="62">
      <c r="A161" s="16" t="n"/>
      <c r="B161" s="14" t="n"/>
      <c r="C161" s="8" t="n"/>
    </row>
    <row r="162" ht="15" customHeight="1" s="62">
      <c r="A162" s="16" t="n"/>
      <c r="B162" s="14" t="n"/>
      <c r="C162" s="8" t="n"/>
    </row>
    <row r="163" ht="15" customHeight="1" s="62">
      <c r="A163" s="16" t="n"/>
      <c r="B163" s="14" t="n"/>
      <c r="C163" s="8" t="n"/>
    </row>
    <row r="164" ht="15" customHeight="1" s="62">
      <c r="A164" s="16" t="n"/>
      <c r="B164" s="14" t="n"/>
      <c r="C164" s="8" t="n"/>
    </row>
    <row r="165" ht="15" customHeight="1" s="62">
      <c r="A165" s="16" t="n"/>
      <c r="B165" s="14" t="n"/>
      <c r="C165" s="8" t="n"/>
    </row>
    <row r="166" ht="15" customHeight="1" s="62">
      <c r="A166" s="16" t="n"/>
      <c r="B166" s="14" t="n"/>
      <c r="C166" s="8" t="n"/>
    </row>
    <row r="167" ht="15" customHeight="1" s="62">
      <c r="A167" s="16" t="n"/>
      <c r="B167" s="14" t="n"/>
      <c r="C167" s="8" t="n"/>
    </row>
    <row r="168" ht="15" customHeight="1" s="62">
      <c r="A168" s="16" t="n"/>
      <c r="B168" s="14" t="n"/>
      <c r="C168" s="8" t="n"/>
    </row>
    <row r="169" ht="15" customHeight="1" s="62">
      <c r="A169" s="16" t="n"/>
      <c r="B169" s="14" t="n"/>
      <c r="C169" s="8" t="n"/>
    </row>
    <row r="170" ht="15" customHeight="1" s="62">
      <c r="A170" s="16" t="n"/>
      <c r="B170" s="14" t="n"/>
      <c r="C170" s="8" t="n"/>
    </row>
    <row r="171" ht="15" customHeight="1" s="62">
      <c r="A171" s="16" t="n"/>
      <c r="B171" s="14" t="n"/>
      <c r="C171" s="8" t="n"/>
    </row>
    <row r="172" ht="15" customHeight="1" s="62">
      <c r="A172" s="16" t="n"/>
      <c r="B172" s="14" t="n"/>
      <c r="C172" s="8" t="n"/>
    </row>
    <row r="173" ht="15" customHeight="1" s="62">
      <c r="A173" s="16" t="n"/>
      <c r="B173" s="14" t="n"/>
      <c r="C173" s="8" t="n"/>
    </row>
    <row r="174" ht="15" customHeight="1" s="62">
      <c r="A174" s="16" t="n"/>
      <c r="B174" s="14" t="n"/>
      <c r="C174" s="8" t="n"/>
    </row>
    <row r="175" ht="15" customHeight="1" s="62">
      <c r="A175" s="16" t="n"/>
      <c r="B175" s="14" t="n"/>
      <c r="C175" s="8" t="n"/>
    </row>
    <row r="176" ht="15" customHeight="1" s="62">
      <c r="A176" s="16" t="n"/>
      <c r="B176" s="14" t="n"/>
      <c r="C176" s="8" t="n"/>
    </row>
    <row r="177" ht="15" customHeight="1" s="62">
      <c r="A177" s="16" t="n"/>
      <c r="B177" s="14" t="n"/>
      <c r="C177" s="8" t="n"/>
    </row>
    <row r="178" ht="15" customHeight="1" s="62">
      <c r="A178" s="16" t="n"/>
      <c r="B178" s="14" t="n"/>
      <c r="C178" s="8" t="n"/>
    </row>
    <row r="179" ht="15" customHeight="1" s="62">
      <c r="A179" s="16" t="n"/>
      <c r="B179" s="14" t="n"/>
      <c r="C179" s="8" t="n"/>
    </row>
    <row r="180" ht="15" customHeight="1" s="62">
      <c r="A180" s="16" t="n"/>
      <c r="B180" s="14" t="n"/>
      <c r="C180" s="8" t="n"/>
    </row>
    <row r="181" ht="15" customHeight="1" s="62">
      <c r="A181" s="16" t="n"/>
      <c r="B181" s="14" t="n"/>
      <c r="C181" s="8" t="n"/>
    </row>
    <row r="182" ht="15" customHeight="1" s="62">
      <c r="A182" s="16" t="n"/>
      <c r="B182" s="14" t="n"/>
      <c r="C182" s="8" t="n"/>
    </row>
    <row r="183" ht="15" customHeight="1" s="62">
      <c r="A183" s="16" t="n"/>
      <c r="B183" s="14" t="n"/>
      <c r="C183" s="8" t="n"/>
    </row>
    <row r="184" ht="15" customHeight="1" s="62">
      <c r="A184" s="16" t="n"/>
      <c r="B184" s="14" t="n"/>
      <c r="C184" s="8" t="n"/>
    </row>
    <row r="185" ht="15" customHeight="1" s="62">
      <c r="A185" s="16" t="n"/>
      <c r="B185" s="14" t="n"/>
      <c r="C185" s="8" t="n"/>
    </row>
    <row r="186" ht="15" customHeight="1" s="62">
      <c r="A186" s="16" t="n"/>
      <c r="B186" s="14" t="n"/>
      <c r="C186" s="8" t="n"/>
    </row>
    <row r="187" ht="15" customHeight="1" s="62">
      <c r="A187" s="16" t="n"/>
      <c r="B187" s="14" t="n"/>
      <c r="C187" s="8" t="n"/>
    </row>
    <row r="188" ht="15" customHeight="1" s="62">
      <c r="A188" s="16" t="n"/>
      <c r="B188" s="14" t="n"/>
      <c r="C188" s="8" t="n"/>
    </row>
    <row r="189" ht="15" customHeight="1" s="62">
      <c r="A189" s="16" t="n"/>
      <c r="B189" s="14" t="n"/>
      <c r="C189" s="8" t="n"/>
    </row>
    <row r="190" ht="15" customHeight="1" s="62">
      <c r="A190" s="16" t="n"/>
      <c r="B190" s="14" t="n"/>
      <c r="C190" s="8" t="n"/>
    </row>
    <row r="191" ht="15" customHeight="1" s="62">
      <c r="A191" s="16" t="n"/>
      <c r="B191" s="14" t="n"/>
      <c r="C191" s="8" t="n"/>
    </row>
    <row r="192" ht="15" customHeight="1" s="62">
      <c r="A192" s="16" t="n"/>
      <c r="B192" s="14" t="n"/>
      <c r="C192" s="8" t="n"/>
    </row>
    <row r="193" ht="15" customHeight="1" s="62">
      <c r="A193" s="16" t="n"/>
      <c r="B193" s="14" t="n"/>
      <c r="C193" s="8" t="n"/>
    </row>
    <row r="194" ht="15" customHeight="1" s="62">
      <c r="A194" s="16" t="n"/>
      <c r="B194" s="14" t="n"/>
      <c r="C194" s="8" t="n"/>
    </row>
    <row r="195" ht="15" customHeight="1" s="62">
      <c r="A195" s="16" t="n"/>
      <c r="B195" s="14" t="n"/>
      <c r="C195" s="8" t="n"/>
    </row>
    <row r="196" ht="15" customHeight="1" s="62">
      <c r="A196" s="16" t="n"/>
      <c r="B196" s="14" t="n"/>
      <c r="C196" s="8" t="n"/>
    </row>
    <row r="197" ht="15" customHeight="1" s="62">
      <c r="A197" s="16" t="n"/>
      <c r="B197" s="14" t="n"/>
      <c r="C197" s="8" t="n"/>
    </row>
    <row r="198" ht="15" customHeight="1" s="62">
      <c r="A198" s="16" t="n"/>
      <c r="B198" s="14" t="n"/>
      <c r="C198" s="8" t="n"/>
    </row>
    <row r="199" ht="15" customHeight="1" s="62">
      <c r="A199" s="16" t="n"/>
      <c r="B199" s="14" t="n"/>
      <c r="C199" s="8" t="n"/>
    </row>
    <row r="200" ht="15" customHeight="1" s="62">
      <c r="A200" s="16" t="n"/>
      <c r="B200" s="14" t="n"/>
      <c r="C200" s="8" t="n"/>
    </row>
    <row r="201" ht="15" customHeight="1" s="62">
      <c r="A201" s="16" t="n"/>
      <c r="B201" s="14" t="n"/>
      <c r="C201" s="8" t="n"/>
    </row>
    <row r="202" ht="15" customHeight="1" s="62">
      <c r="A202" s="16" t="n"/>
      <c r="B202" s="14" t="n"/>
      <c r="C202" s="8" t="n"/>
    </row>
    <row r="203" ht="15" customHeight="1" s="62">
      <c r="A203" s="16" t="n"/>
      <c r="B203" s="14" t="n"/>
      <c r="C203" s="8" t="n"/>
    </row>
    <row r="204" ht="15" customHeight="1" s="62">
      <c r="A204" s="16" t="n"/>
      <c r="B204" s="14" t="n"/>
      <c r="C204" s="8" t="n"/>
    </row>
    <row r="205" ht="15" customHeight="1" s="62">
      <c r="A205" s="16" t="n"/>
      <c r="B205" s="14" t="n"/>
      <c r="C205" s="8" t="n"/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showGridLines="0" zoomScaleNormal="100" workbookViewId="0">
      <pane ySplit="7" topLeftCell="A8" activePane="bottomLeft" state="frozen"/>
      <selection pane="bottomLeft" activeCell="A1" sqref="A1:D1"/>
    </sheetView>
  </sheetViews>
  <sheetFormatPr baseColWidth="10" defaultColWidth="8.7109375" defaultRowHeight="15"/>
  <cols>
    <col width="46" customWidth="1" style="62" min="1" max="1"/>
    <col width="20" customWidth="1" style="62" min="2" max="2"/>
    <col width="32" customWidth="1" style="62" min="3" max="3"/>
  </cols>
  <sheetData>
    <row r="1" ht="25.5" customHeight="1" s="62">
      <c r="A1" s="68" t="inlineStr">
        <is>
          <t>Capital Aportado e Inversión Inicial</t>
        </is>
      </c>
    </row>
    <row r="3" ht="15" customHeight="1" s="62">
      <c r="A3" s="70" t="inlineStr">
        <is>
          <t>Toda la inversión inicial se paga AL CONTADO — este negocio no financia compras ni toma deuda.</t>
        </is>
      </c>
    </row>
    <row r="5" ht="15" customHeight="1" s="62">
      <c r="A5" s="3" t="inlineStr">
        <is>
          <t>A) Inversión Inicial (pago único, al contado)</t>
        </is>
      </c>
    </row>
    <row r="6" ht="24" customHeight="1" s="62">
      <c r="A6" s="58" t="inlineStr">
        <is>
          <t>TOTAL INVERSIÓN INICIAL</t>
        </is>
      </c>
      <c r="B6" s="11">
        <f>SUM(B8:B157)</f>
        <v/>
      </c>
      <c r="C6" s="7" t="n"/>
    </row>
    <row r="7" ht="27.75" customHeight="1" s="62">
      <c r="A7" s="12" t="inlineStr">
        <is>
          <t>Concepto</t>
        </is>
      </c>
      <c r="B7" s="12" t="inlineStr">
        <is>
          <t>Monto</t>
        </is>
      </c>
      <c r="C7" s="12" t="inlineStr">
        <is>
          <t>Notas</t>
        </is>
      </c>
    </row>
    <row r="8" ht="15" customHeight="1" s="62">
      <c r="A8" s="13" t="inlineStr">
        <is>
          <t>Heladera / freezer</t>
        </is>
      </c>
      <c r="B8" s="14" t="n">
        <v>350000</v>
      </c>
      <c r="C8" s="15" t="n"/>
    </row>
    <row r="9" ht="15" customHeight="1" s="62">
      <c r="A9" s="13" t="inlineStr">
        <is>
          <t>Anafe / cocina</t>
        </is>
      </c>
      <c r="B9" s="14" t="n">
        <v>180000</v>
      </c>
      <c r="C9" s="15" t="n"/>
    </row>
    <row r="10" ht="15" customHeight="1" s="62">
      <c r="A10" s="13" t="inlineStr">
        <is>
          <t>Campana extractora</t>
        </is>
      </c>
      <c r="B10" s="14" t="n">
        <v>90000</v>
      </c>
      <c r="C10" s="15" t="n"/>
    </row>
    <row r="11" ht="15" customHeight="1" s="62">
      <c r="A11" s="13" t="inlineStr">
        <is>
          <t>Máquina de fileteado / ablandadora</t>
        </is>
      </c>
      <c r="B11" s="14" t="n">
        <v>220000</v>
      </c>
      <c r="C11" s="15" t="inlineStr">
        <is>
          <t>Si vas a fabricar vos mismo</t>
        </is>
      </c>
    </row>
    <row r="12" ht="15" customHeight="1" s="62">
      <c r="A12" s="13" t="inlineStr">
        <is>
          <t>Mesada de acero inoxidable / rebozado</t>
        </is>
      </c>
      <c r="B12" s="14" t="n">
        <v>120000</v>
      </c>
      <c r="C12" s="15" t="n"/>
    </row>
    <row r="13" ht="15" customHeight="1" s="62">
      <c r="A13" s="13" t="inlineStr">
        <is>
          <t>Vitrina / mostrador</t>
        </is>
      </c>
      <c r="B13" s="14" t="n">
        <v>150000</v>
      </c>
      <c r="C13" s="15" t="n"/>
    </row>
    <row r="14" ht="15" customHeight="1" s="62">
      <c r="A14" s="13" t="inlineStr">
        <is>
          <t>Mobiliario general</t>
        </is>
      </c>
      <c r="B14" s="14" t="n">
        <v>100000</v>
      </c>
      <c r="C14" s="15" t="n"/>
    </row>
    <row r="15" ht="15" customHeight="1" s="62">
      <c r="A15" s="13" t="inlineStr">
        <is>
          <t>Adecuación del local (pintura, instalación eléctrica, etc.)</t>
        </is>
      </c>
      <c r="B15" s="14" t="n">
        <v>200000</v>
      </c>
      <c r="C15" s="15" t="n"/>
    </row>
    <row r="16" ht="15" customHeight="1" s="62">
      <c r="A16" s="13" t="inlineStr">
        <is>
          <t>Habilitación municipal / bromatología</t>
        </is>
      </c>
      <c r="B16" s="14" t="n">
        <v>60000</v>
      </c>
      <c r="C16" s="15" t="n"/>
    </row>
    <row r="17" ht="15" customHeight="1" s="62">
      <c r="A17" s="13" t="inlineStr">
        <is>
          <t>Cartelería / identidad de marca</t>
        </is>
      </c>
      <c r="B17" s="14" t="n">
        <v>40000</v>
      </c>
      <c r="C17" s="15" t="n"/>
    </row>
    <row r="18" ht="15" customHeight="1" s="62">
      <c r="A18" s="13" t="inlineStr">
        <is>
          <t>Envasadora al vacío</t>
        </is>
      </c>
      <c r="B18" s="14" t="n">
        <v>280000</v>
      </c>
      <c r="C18" s="15" t="n"/>
    </row>
    <row r="19" ht="15" customHeight="1" s="62">
      <c r="A19" s="13" t="inlineStr">
        <is>
          <t>Stock inicial de mercadería</t>
        </is>
      </c>
      <c r="B19" s="14" t="n">
        <v>150000</v>
      </c>
      <c r="C19" s="15" t="n"/>
    </row>
    <row r="20" ht="15" customHeight="1" s="62">
      <c r="A20" s="13" t="inlineStr">
        <is>
          <t>Imprevistos / contingencia</t>
        </is>
      </c>
      <c r="B20" s="14" t="n">
        <v>120000</v>
      </c>
      <c r="C20" s="15" t="inlineStr">
        <is>
          <t>Recomendado: 10-15% del total</t>
        </is>
      </c>
    </row>
    <row r="21" ht="15" customHeight="1" s="62">
      <c r="A21" s="16" t="n"/>
      <c r="B21" s="14" t="n"/>
      <c r="C21" s="8" t="n"/>
    </row>
    <row r="22" ht="15" customHeight="1" s="62">
      <c r="A22" s="16" t="n"/>
      <c r="B22" s="14" t="n"/>
      <c r="C22" s="8" t="n"/>
    </row>
    <row r="23" ht="15" customHeight="1" s="62">
      <c r="A23" s="16" t="n"/>
      <c r="B23" s="14" t="n"/>
      <c r="C23" s="8" t="n"/>
    </row>
    <row r="24" ht="15" customHeight="1" s="62">
      <c r="A24" s="16" t="n"/>
      <c r="B24" s="14" t="n"/>
      <c r="C24" s="8" t="n"/>
    </row>
    <row r="25" ht="15" customHeight="1" s="62">
      <c r="A25" s="16" t="n"/>
      <c r="B25" s="14" t="n"/>
      <c r="C25" s="8" t="n"/>
    </row>
    <row r="26" ht="15" customHeight="1" s="62">
      <c r="A26" s="16" t="n"/>
      <c r="B26" s="14" t="n"/>
      <c r="C26" s="8" t="n"/>
    </row>
    <row r="27" ht="15" customHeight="1" s="62">
      <c r="A27" s="16" t="n"/>
      <c r="B27" s="14" t="n"/>
      <c r="C27" s="8" t="n"/>
    </row>
    <row r="28" ht="15" customHeight="1" s="62">
      <c r="A28" s="16" t="n"/>
      <c r="B28" s="14" t="n"/>
      <c r="C28" s="8" t="n"/>
    </row>
    <row r="29" ht="15" customHeight="1" s="62">
      <c r="A29" s="16" t="n"/>
      <c r="B29" s="14" t="n"/>
      <c r="C29" s="8" t="n"/>
    </row>
    <row r="30" ht="15" customHeight="1" s="62">
      <c r="A30" s="16" t="n"/>
      <c r="B30" s="14" t="n"/>
      <c r="C30" s="8" t="n"/>
    </row>
    <row r="31" ht="15" customHeight="1" s="62">
      <c r="A31" s="16" t="n"/>
      <c r="B31" s="14" t="n"/>
      <c r="C31" s="8" t="n"/>
    </row>
    <row r="32" ht="15" customHeight="1" s="62">
      <c r="A32" s="16" t="n"/>
      <c r="B32" s="14" t="n"/>
      <c r="C32" s="8" t="n"/>
    </row>
    <row r="33" ht="15" customHeight="1" s="62">
      <c r="A33" s="16" t="n"/>
      <c r="B33" s="14" t="n"/>
      <c r="C33" s="8" t="n"/>
    </row>
    <row r="34" ht="15" customHeight="1" s="62">
      <c r="A34" s="16" t="n"/>
      <c r="B34" s="14" t="n"/>
      <c r="C34" s="8" t="n"/>
    </row>
    <row r="35" ht="15" customHeight="1" s="62">
      <c r="A35" s="16" t="n"/>
      <c r="B35" s="14" t="n"/>
      <c r="C35" s="8" t="n"/>
    </row>
    <row r="36" ht="15" customHeight="1" s="62">
      <c r="A36" s="16" t="n"/>
      <c r="B36" s="14" t="n"/>
      <c r="C36" s="8" t="n"/>
    </row>
    <row r="37" ht="15" customHeight="1" s="62">
      <c r="A37" s="16" t="n"/>
      <c r="B37" s="14" t="n"/>
      <c r="C37" s="8" t="n"/>
    </row>
    <row r="38" ht="15" customHeight="1" s="62">
      <c r="A38" s="16" t="n"/>
      <c r="B38" s="14" t="n"/>
      <c r="C38" s="8" t="n"/>
    </row>
    <row r="39" ht="15" customHeight="1" s="62">
      <c r="A39" s="16" t="n"/>
      <c r="B39" s="14" t="n"/>
      <c r="C39" s="8" t="n"/>
    </row>
    <row r="40" ht="15" customHeight="1" s="62">
      <c r="A40" s="16" t="n"/>
      <c r="B40" s="14" t="n"/>
      <c r="C40" s="8" t="n"/>
    </row>
    <row r="41" ht="15" customHeight="1" s="62">
      <c r="A41" s="16" t="n"/>
      <c r="B41" s="14" t="n"/>
      <c r="C41" s="8" t="n"/>
    </row>
    <row r="42" ht="15" customHeight="1" s="62">
      <c r="A42" s="16" t="n"/>
      <c r="B42" s="14" t="n"/>
      <c r="C42" s="8" t="n"/>
    </row>
    <row r="43" ht="15" customHeight="1" s="62">
      <c r="A43" s="16" t="n"/>
      <c r="B43" s="14" t="n"/>
      <c r="C43" s="8" t="n"/>
    </row>
    <row r="44" ht="15" customHeight="1" s="62">
      <c r="A44" s="16" t="n"/>
      <c r="B44" s="14" t="n"/>
      <c r="C44" s="8" t="n"/>
    </row>
    <row r="45" ht="15" customHeight="1" s="62">
      <c r="A45" s="16" t="n"/>
      <c r="B45" s="14" t="n"/>
      <c r="C45" s="8" t="n"/>
    </row>
    <row r="46" ht="15" customHeight="1" s="62">
      <c r="A46" s="16" t="n"/>
      <c r="B46" s="14" t="n"/>
      <c r="C46" s="8" t="n"/>
    </row>
    <row r="47" ht="15" customHeight="1" s="62">
      <c r="A47" s="16" t="n"/>
      <c r="B47" s="14" t="n"/>
      <c r="C47" s="8" t="n"/>
    </row>
    <row r="48" ht="15" customHeight="1" s="62">
      <c r="A48" s="16" t="n"/>
      <c r="B48" s="14" t="n"/>
      <c r="C48" s="8" t="n"/>
    </row>
    <row r="49" ht="15" customHeight="1" s="62">
      <c r="A49" s="16" t="n"/>
      <c r="B49" s="14" t="n"/>
      <c r="C49" s="8" t="n"/>
    </row>
    <row r="50" ht="15" customHeight="1" s="62">
      <c r="A50" s="16" t="n"/>
      <c r="B50" s="14" t="n"/>
      <c r="C50" s="8" t="n"/>
    </row>
    <row r="51" ht="15" customHeight="1" s="62">
      <c r="A51" s="16" t="n"/>
      <c r="B51" s="14" t="n"/>
      <c r="C51" s="8" t="n"/>
    </row>
    <row r="52" ht="15" customHeight="1" s="62">
      <c r="A52" s="16" t="n"/>
      <c r="B52" s="14" t="n"/>
      <c r="C52" s="8" t="n"/>
    </row>
    <row r="53" ht="15" customHeight="1" s="62">
      <c r="A53" s="16" t="n"/>
      <c r="B53" s="14" t="n"/>
      <c r="C53" s="8" t="n"/>
    </row>
    <row r="54" ht="15" customHeight="1" s="62">
      <c r="A54" s="16" t="n"/>
      <c r="B54" s="14" t="n"/>
      <c r="C54" s="8" t="n"/>
    </row>
    <row r="55" ht="15" customHeight="1" s="62">
      <c r="A55" s="16" t="n"/>
      <c r="B55" s="14" t="n"/>
      <c r="C55" s="8" t="n"/>
    </row>
    <row r="56" ht="15" customHeight="1" s="62">
      <c r="A56" s="16" t="n"/>
      <c r="B56" s="14" t="n"/>
      <c r="C56" s="8" t="n"/>
    </row>
    <row r="57" ht="15" customHeight="1" s="62">
      <c r="A57" s="16" t="n"/>
      <c r="B57" s="14" t="n"/>
      <c r="C57" s="8" t="n"/>
    </row>
    <row r="58" ht="15" customHeight="1" s="62">
      <c r="A58" s="16" t="n"/>
      <c r="B58" s="14" t="n"/>
      <c r="C58" s="8" t="n"/>
    </row>
    <row r="59" ht="15" customHeight="1" s="62">
      <c r="A59" s="16" t="n"/>
      <c r="B59" s="14" t="n"/>
      <c r="C59" s="8" t="n"/>
    </row>
    <row r="60" ht="15" customHeight="1" s="62">
      <c r="A60" s="16" t="n"/>
      <c r="B60" s="14" t="n"/>
      <c r="C60" s="8" t="n"/>
    </row>
    <row r="61" ht="15" customHeight="1" s="62">
      <c r="A61" s="16" t="n"/>
      <c r="B61" s="14" t="n"/>
      <c r="C61" s="8" t="n"/>
    </row>
    <row r="62" ht="15" customHeight="1" s="62">
      <c r="A62" s="16" t="n"/>
      <c r="B62" s="14" t="n"/>
      <c r="C62" s="8" t="n"/>
    </row>
    <row r="63" ht="15" customHeight="1" s="62">
      <c r="A63" s="16" t="n"/>
      <c r="B63" s="14" t="n"/>
      <c r="C63" s="8" t="n"/>
    </row>
    <row r="64" ht="15" customHeight="1" s="62">
      <c r="A64" s="16" t="n"/>
      <c r="B64" s="14" t="n"/>
      <c r="C64" s="8" t="n"/>
    </row>
    <row r="65" ht="15" customHeight="1" s="62">
      <c r="A65" s="16" t="n"/>
      <c r="B65" s="14" t="n"/>
      <c r="C65" s="8" t="n"/>
    </row>
    <row r="66" ht="15" customHeight="1" s="62">
      <c r="A66" s="16" t="n"/>
      <c r="B66" s="14" t="n"/>
      <c r="C66" s="8" t="n"/>
    </row>
    <row r="67" ht="15" customHeight="1" s="62">
      <c r="A67" s="16" t="n"/>
      <c r="B67" s="14" t="n"/>
      <c r="C67" s="8" t="n"/>
    </row>
    <row r="68" ht="15" customHeight="1" s="62">
      <c r="A68" s="16" t="n"/>
      <c r="B68" s="14" t="n"/>
      <c r="C68" s="8" t="n"/>
    </row>
    <row r="69" ht="15" customHeight="1" s="62">
      <c r="A69" s="16" t="n"/>
      <c r="B69" s="14" t="n"/>
      <c r="C69" s="8" t="n"/>
    </row>
    <row r="70" ht="15" customHeight="1" s="62">
      <c r="A70" s="16" t="n"/>
      <c r="B70" s="14" t="n"/>
      <c r="C70" s="8" t="n"/>
    </row>
    <row r="71" ht="15" customHeight="1" s="62">
      <c r="A71" s="16" t="n"/>
      <c r="B71" s="14" t="n"/>
      <c r="C71" s="8" t="n"/>
    </row>
    <row r="72" ht="15" customHeight="1" s="62">
      <c r="A72" s="16" t="n"/>
      <c r="B72" s="14" t="n"/>
      <c r="C72" s="8" t="n"/>
    </row>
    <row r="73" ht="15" customHeight="1" s="62">
      <c r="A73" s="16" t="n"/>
      <c r="B73" s="14" t="n"/>
      <c r="C73" s="8" t="n"/>
    </row>
    <row r="74" ht="15" customHeight="1" s="62">
      <c r="A74" s="16" t="n"/>
      <c r="B74" s="14" t="n"/>
      <c r="C74" s="8" t="n"/>
    </row>
    <row r="75" ht="15" customHeight="1" s="62">
      <c r="A75" s="16" t="n"/>
      <c r="B75" s="14" t="n"/>
      <c r="C75" s="8" t="n"/>
    </row>
    <row r="76" ht="15" customHeight="1" s="62">
      <c r="A76" s="16" t="n"/>
      <c r="B76" s="14" t="n"/>
      <c r="C76" s="8" t="n"/>
    </row>
    <row r="77" ht="15" customHeight="1" s="62">
      <c r="A77" s="16" t="n"/>
      <c r="B77" s="14" t="n"/>
      <c r="C77" s="8" t="n"/>
    </row>
    <row r="78" ht="15" customHeight="1" s="62">
      <c r="A78" s="16" t="n"/>
      <c r="B78" s="14" t="n"/>
      <c r="C78" s="8" t="n"/>
    </row>
    <row r="79" ht="15" customHeight="1" s="62">
      <c r="A79" s="16" t="n"/>
      <c r="B79" s="14" t="n"/>
      <c r="C79" s="8" t="n"/>
    </row>
    <row r="80" ht="15" customHeight="1" s="62">
      <c r="A80" s="16" t="n"/>
      <c r="B80" s="14" t="n"/>
      <c r="C80" s="8" t="n"/>
    </row>
    <row r="81" ht="15" customHeight="1" s="62">
      <c r="A81" s="16" t="n"/>
      <c r="B81" s="14" t="n"/>
      <c r="C81" s="8" t="n"/>
    </row>
    <row r="82" ht="15" customHeight="1" s="62">
      <c r="A82" s="16" t="n"/>
      <c r="B82" s="14" t="n"/>
      <c r="C82" s="8" t="n"/>
    </row>
    <row r="83" ht="15" customHeight="1" s="62">
      <c r="A83" s="16" t="n"/>
      <c r="B83" s="14" t="n"/>
      <c r="C83" s="8" t="n"/>
    </row>
    <row r="84" ht="15" customHeight="1" s="62">
      <c r="A84" s="16" t="n"/>
      <c r="B84" s="14" t="n"/>
      <c r="C84" s="8" t="n"/>
    </row>
    <row r="85" ht="15" customHeight="1" s="62">
      <c r="A85" s="16" t="n"/>
      <c r="B85" s="14" t="n"/>
      <c r="C85" s="8" t="n"/>
    </row>
    <row r="86" ht="15" customHeight="1" s="62">
      <c r="A86" s="16" t="n"/>
      <c r="B86" s="14" t="n"/>
      <c r="C86" s="8" t="n"/>
    </row>
    <row r="87" ht="15" customHeight="1" s="62">
      <c r="A87" s="16" t="n"/>
      <c r="B87" s="14" t="n"/>
      <c r="C87" s="8" t="n"/>
    </row>
    <row r="88" ht="15" customHeight="1" s="62">
      <c r="A88" s="16" t="n"/>
      <c r="B88" s="14" t="n"/>
      <c r="C88" s="8" t="n"/>
    </row>
    <row r="89" ht="15" customHeight="1" s="62">
      <c r="A89" s="16" t="n"/>
      <c r="B89" s="14" t="n"/>
      <c r="C89" s="8" t="n"/>
    </row>
    <row r="90" ht="15" customHeight="1" s="62">
      <c r="A90" s="16" t="n"/>
      <c r="B90" s="14" t="n"/>
      <c r="C90" s="8" t="n"/>
    </row>
    <row r="91" ht="15" customHeight="1" s="62">
      <c r="A91" s="16" t="n"/>
      <c r="B91" s="14" t="n"/>
      <c r="C91" s="8" t="n"/>
    </row>
    <row r="92" ht="15" customHeight="1" s="62">
      <c r="A92" s="16" t="n"/>
      <c r="B92" s="14" t="n"/>
      <c r="C92" s="8" t="n"/>
    </row>
    <row r="93" ht="15" customHeight="1" s="62">
      <c r="A93" s="16" t="n"/>
      <c r="B93" s="14" t="n"/>
      <c r="C93" s="8" t="n"/>
    </row>
    <row r="94" ht="15" customHeight="1" s="62">
      <c r="A94" s="16" t="n"/>
      <c r="B94" s="14" t="n"/>
      <c r="C94" s="8" t="n"/>
    </row>
    <row r="95" ht="15" customHeight="1" s="62">
      <c r="A95" s="16" t="n"/>
      <c r="B95" s="14" t="n"/>
      <c r="C95" s="8" t="n"/>
    </row>
    <row r="96" ht="15" customHeight="1" s="62">
      <c r="A96" s="16" t="n"/>
      <c r="B96" s="14" t="n"/>
      <c r="C96" s="8" t="n"/>
    </row>
    <row r="97" ht="15" customHeight="1" s="62">
      <c r="A97" s="16" t="n"/>
      <c r="B97" s="14" t="n"/>
      <c r="C97" s="8" t="n"/>
    </row>
    <row r="98" ht="15" customHeight="1" s="62">
      <c r="A98" s="16" t="n"/>
      <c r="B98" s="14" t="n"/>
      <c r="C98" s="8" t="n"/>
    </row>
    <row r="99" ht="15" customHeight="1" s="62">
      <c r="A99" s="16" t="n"/>
      <c r="B99" s="14" t="n"/>
      <c r="C99" s="8" t="n"/>
    </row>
    <row r="100" ht="15" customHeight="1" s="62">
      <c r="A100" s="16" t="n"/>
      <c r="B100" s="14" t="n"/>
      <c r="C100" s="8" t="n"/>
    </row>
    <row r="101" ht="15" customHeight="1" s="62">
      <c r="A101" s="16" t="n"/>
      <c r="B101" s="14" t="n"/>
      <c r="C101" s="8" t="n"/>
    </row>
    <row r="102" ht="15" customHeight="1" s="62">
      <c r="A102" s="16" t="n"/>
      <c r="B102" s="14" t="n"/>
      <c r="C102" s="8" t="n"/>
    </row>
    <row r="103" ht="15" customHeight="1" s="62">
      <c r="A103" s="16" t="n"/>
      <c r="B103" s="14" t="n"/>
      <c r="C103" s="8" t="n"/>
    </row>
    <row r="104" ht="15" customHeight="1" s="62">
      <c r="A104" s="16" t="n"/>
      <c r="B104" s="14" t="n"/>
      <c r="C104" s="8" t="n"/>
    </row>
    <row r="105" ht="15" customHeight="1" s="62">
      <c r="A105" s="16" t="n"/>
      <c r="B105" s="14" t="n"/>
      <c r="C105" s="8" t="n"/>
    </row>
    <row r="106" ht="15" customHeight="1" s="62">
      <c r="A106" s="16" t="n"/>
      <c r="B106" s="14" t="n"/>
      <c r="C106" s="8" t="n"/>
    </row>
    <row r="107" ht="15" customHeight="1" s="62">
      <c r="A107" s="16" t="n"/>
      <c r="B107" s="14" t="n"/>
      <c r="C107" s="8" t="n"/>
    </row>
    <row r="108" ht="15" customHeight="1" s="62">
      <c r="A108" s="16" t="n"/>
      <c r="B108" s="14" t="n"/>
      <c r="C108" s="8" t="n"/>
    </row>
    <row r="109" ht="15" customHeight="1" s="62">
      <c r="A109" s="16" t="n"/>
      <c r="B109" s="14" t="n"/>
      <c r="C109" s="8" t="n"/>
    </row>
    <row r="110" ht="15" customHeight="1" s="62">
      <c r="A110" s="16" t="n"/>
      <c r="B110" s="14" t="n"/>
      <c r="C110" s="8" t="n"/>
    </row>
    <row r="111" ht="15" customHeight="1" s="62">
      <c r="A111" s="16" t="n"/>
      <c r="B111" s="14" t="n"/>
      <c r="C111" s="8" t="n"/>
    </row>
    <row r="112" ht="15" customHeight="1" s="62">
      <c r="A112" s="16" t="n"/>
      <c r="B112" s="14" t="n"/>
      <c r="C112" s="8" t="n"/>
    </row>
    <row r="113" ht="15" customHeight="1" s="62">
      <c r="A113" s="16" t="n"/>
      <c r="B113" s="14" t="n"/>
      <c r="C113" s="8" t="n"/>
    </row>
    <row r="114" ht="15" customHeight="1" s="62">
      <c r="A114" s="16" t="n"/>
      <c r="B114" s="14" t="n"/>
      <c r="C114" s="8" t="n"/>
    </row>
    <row r="115" ht="15" customHeight="1" s="62">
      <c r="A115" s="16" t="n"/>
      <c r="B115" s="14" t="n"/>
      <c r="C115" s="8" t="n"/>
    </row>
    <row r="116" ht="15" customHeight="1" s="62">
      <c r="A116" s="16" t="n"/>
      <c r="B116" s="14" t="n"/>
      <c r="C116" s="8" t="n"/>
    </row>
    <row r="117" ht="15" customHeight="1" s="62">
      <c r="A117" s="16" t="n"/>
      <c r="B117" s="14" t="n"/>
      <c r="C117" s="8" t="n"/>
    </row>
    <row r="118" ht="15" customHeight="1" s="62">
      <c r="A118" s="16" t="n"/>
      <c r="B118" s="14" t="n"/>
      <c r="C118" s="8" t="n"/>
    </row>
    <row r="119" ht="15" customHeight="1" s="62">
      <c r="A119" s="16" t="n"/>
      <c r="B119" s="14" t="n"/>
      <c r="C119" s="8" t="n"/>
    </row>
    <row r="120" ht="15" customHeight="1" s="62">
      <c r="A120" s="16" t="n"/>
      <c r="B120" s="14" t="n"/>
      <c r="C120" s="8" t="n"/>
    </row>
    <row r="121" ht="15" customHeight="1" s="62">
      <c r="A121" s="16" t="n"/>
      <c r="B121" s="14" t="n"/>
      <c r="C121" s="8" t="n"/>
    </row>
    <row r="122" ht="15" customHeight="1" s="62">
      <c r="A122" s="16" t="n"/>
      <c r="B122" s="14" t="n"/>
      <c r="C122" s="8" t="n"/>
    </row>
    <row r="123" ht="15" customHeight="1" s="62">
      <c r="A123" s="16" t="n"/>
      <c r="B123" s="14" t="n"/>
      <c r="C123" s="8" t="n"/>
    </row>
    <row r="124" ht="15" customHeight="1" s="62">
      <c r="A124" s="16" t="n"/>
      <c r="B124" s="14" t="n"/>
      <c r="C124" s="8" t="n"/>
    </row>
    <row r="125" ht="15" customHeight="1" s="62">
      <c r="A125" s="16" t="n"/>
      <c r="B125" s="14" t="n"/>
      <c r="C125" s="8" t="n"/>
    </row>
    <row r="126" ht="15" customHeight="1" s="62">
      <c r="A126" s="16" t="n"/>
      <c r="B126" s="14" t="n"/>
      <c r="C126" s="8" t="n"/>
    </row>
    <row r="127" ht="15" customHeight="1" s="62">
      <c r="A127" s="16" t="n"/>
      <c r="B127" s="14" t="n"/>
      <c r="C127" s="8" t="n"/>
    </row>
    <row r="128" ht="15" customHeight="1" s="62">
      <c r="A128" s="16" t="n"/>
      <c r="B128" s="14" t="n"/>
      <c r="C128" s="8" t="n"/>
    </row>
    <row r="129" ht="15" customHeight="1" s="62">
      <c r="A129" s="16" t="n"/>
      <c r="B129" s="14" t="n"/>
      <c r="C129" s="8" t="n"/>
    </row>
    <row r="130" ht="15" customHeight="1" s="62">
      <c r="A130" s="16" t="n"/>
      <c r="B130" s="14" t="n"/>
      <c r="C130" s="8" t="n"/>
    </row>
    <row r="131" ht="15" customHeight="1" s="62">
      <c r="A131" s="16" t="n"/>
      <c r="B131" s="14" t="n"/>
      <c r="C131" s="8" t="n"/>
    </row>
    <row r="132" ht="15" customHeight="1" s="62">
      <c r="A132" s="16" t="n"/>
      <c r="B132" s="14" t="n"/>
      <c r="C132" s="8" t="n"/>
    </row>
    <row r="133" ht="15" customHeight="1" s="62">
      <c r="A133" s="16" t="n"/>
      <c r="B133" s="14" t="n"/>
      <c r="C133" s="8" t="n"/>
    </row>
    <row r="134" ht="15" customHeight="1" s="62">
      <c r="A134" s="16" t="n"/>
      <c r="B134" s="14" t="n"/>
      <c r="C134" s="8" t="n"/>
    </row>
    <row r="135" ht="15" customHeight="1" s="62">
      <c r="A135" s="16" t="n"/>
      <c r="B135" s="14" t="n"/>
      <c r="C135" s="8" t="n"/>
    </row>
    <row r="136" ht="15" customHeight="1" s="62">
      <c r="A136" s="16" t="n"/>
      <c r="B136" s="14" t="n"/>
      <c r="C136" s="8" t="n"/>
    </row>
    <row r="137" ht="15" customHeight="1" s="62">
      <c r="A137" s="16" t="n"/>
      <c r="B137" s="14" t="n"/>
      <c r="C137" s="8" t="n"/>
    </row>
    <row r="138" ht="15" customHeight="1" s="62">
      <c r="A138" s="16" t="n"/>
      <c r="B138" s="14" t="n"/>
      <c r="C138" s="8" t="n"/>
    </row>
    <row r="139" ht="15" customHeight="1" s="62">
      <c r="A139" s="16" t="n"/>
      <c r="B139" s="14" t="n"/>
      <c r="C139" s="8" t="n"/>
    </row>
    <row r="140" ht="15" customHeight="1" s="62">
      <c r="A140" s="16" t="n"/>
      <c r="B140" s="14" t="n"/>
      <c r="C140" s="8" t="n"/>
    </row>
    <row r="141" ht="15" customHeight="1" s="62">
      <c r="A141" s="16" t="n"/>
      <c r="B141" s="14" t="n"/>
      <c r="C141" s="8" t="n"/>
    </row>
    <row r="142" ht="15" customHeight="1" s="62">
      <c r="A142" s="16" t="n"/>
      <c r="B142" s="14" t="n"/>
      <c r="C142" s="8" t="n"/>
    </row>
    <row r="143" ht="15" customHeight="1" s="62">
      <c r="A143" s="16" t="n"/>
      <c r="B143" s="14" t="n"/>
      <c r="C143" s="8" t="n"/>
    </row>
    <row r="144" ht="15" customHeight="1" s="62">
      <c r="A144" s="16" t="n"/>
      <c r="B144" s="14" t="n"/>
      <c r="C144" s="8" t="n"/>
    </row>
    <row r="145" ht="15" customHeight="1" s="62">
      <c r="A145" s="16" t="n"/>
      <c r="B145" s="14" t="n"/>
      <c r="C145" s="8" t="n"/>
    </row>
    <row r="146" ht="15" customHeight="1" s="62">
      <c r="A146" s="16" t="n"/>
      <c r="B146" s="14" t="n"/>
      <c r="C146" s="8" t="n"/>
    </row>
    <row r="147" ht="15" customHeight="1" s="62">
      <c r="A147" s="16" t="n"/>
      <c r="B147" s="14" t="n"/>
      <c r="C147" s="8" t="n"/>
    </row>
    <row r="148" ht="15" customHeight="1" s="62">
      <c r="A148" s="16" t="n"/>
      <c r="B148" s="14" t="n"/>
      <c r="C148" s="8" t="n"/>
    </row>
    <row r="149" ht="15" customHeight="1" s="62">
      <c r="A149" s="16" t="n"/>
      <c r="B149" s="14" t="n"/>
      <c r="C149" s="8" t="n"/>
    </row>
    <row r="150" ht="15" customHeight="1" s="62">
      <c r="A150" s="16" t="n"/>
      <c r="B150" s="14" t="n"/>
      <c r="C150" s="8" t="n"/>
    </row>
    <row r="151" ht="15" customHeight="1" s="62">
      <c r="A151" s="16" t="n"/>
      <c r="B151" s="14" t="n"/>
      <c r="C151" s="8" t="n"/>
    </row>
    <row r="152" ht="15" customHeight="1" s="62">
      <c r="A152" s="16" t="n"/>
      <c r="B152" s="14" t="n"/>
      <c r="C152" s="8" t="n"/>
    </row>
    <row r="153" ht="15" customHeight="1" s="62">
      <c r="A153" s="16" t="n"/>
      <c r="B153" s="14" t="n"/>
      <c r="C153" s="8" t="n"/>
    </row>
    <row r="154" ht="15" customHeight="1" s="62">
      <c r="A154" s="16" t="n"/>
      <c r="B154" s="14" t="n"/>
      <c r="C154" s="8" t="n"/>
    </row>
    <row r="155" ht="15" customHeight="1" s="62">
      <c r="A155" s="16" t="n"/>
      <c r="B155" s="14" t="n"/>
      <c r="C155" s="8" t="n"/>
    </row>
    <row r="156" ht="15" customHeight="1" s="62">
      <c r="A156" s="16" t="n"/>
      <c r="B156" s="14" t="n"/>
      <c r="C156" s="8" t="n"/>
    </row>
    <row r="157" ht="15" customHeight="1" s="62">
      <c r="A157" s="16" t="n"/>
      <c r="B157" s="14" t="n"/>
      <c r="C157" s="8" t="n"/>
    </row>
    <row r="159" ht="15" customHeight="1" s="62">
      <c r="A159" s="3" t="inlineStr">
        <is>
          <t>B) Capital de Trabajo Inicial (colchón para primeros meses)</t>
        </is>
      </c>
    </row>
    <row r="160" ht="15" customHeight="1" s="62">
      <c r="A160" s="13" t="inlineStr">
        <is>
          <t>Meses de costos fijos a cubrir antes de alcanzar el punto de equilibrio</t>
        </is>
      </c>
      <c r="B160" s="17" t="n">
        <v>2</v>
      </c>
    </row>
    <row r="161" ht="15" customHeight="1" s="62">
      <c r="A161" s="13" t="inlineStr">
        <is>
          <t>Costos fijos mensuales (de la hoja 'Costos Fijos')</t>
        </is>
      </c>
      <c r="B161" s="18">
        <f>'Costos Fijos'!B3</f>
        <v/>
      </c>
    </row>
    <row r="162" ht="15" customHeight="1" s="62">
      <c r="A162" s="19" t="inlineStr">
        <is>
          <t>TOTAL CAPITAL DE TRABAJO INICIAL</t>
        </is>
      </c>
      <c r="B162" s="20">
        <f>B160*B161</f>
        <v/>
      </c>
      <c r="C162" s="9" t="n"/>
    </row>
    <row r="164" ht="15" customHeight="1" s="62">
      <c r="A164" s="19" t="inlineStr">
        <is>
          <t>TOTAL DE FONDOS NECESARIOS (Inversión + Capital de trabajo)</t>
        </is>
      </c>
      <c r="B164" s="20">
        <f>B6+B162</f>
        <v/>
      </c>
      <c r="C164" s="9" t="n"/>
    </row>
    <row r="167" ht="15" customHeight="1" s="62">
      <c r="A167" s="3" t="inlineStr">
        <is>
          <t>C) Aportes de Capital (socios / capital propio — sin financiamiento)</t>
        </is>
      </c>
    </row>
    <row r="168" ht="24" customHeight="1" s="62">
      <c r="A168" s="58" t="inlineStr">
        <is>
          <t>TOTAL CAPITAL APORTADO</t>
        </is>
      </c>
      <c r="B168" s="11">
        <f>SUM(B170:B219)</f>
        <v/>
      </c>
      <c r="C168" s="7" t="n"/>
    </row>
    <row r="169" ht="27.75" customHeight="1" s="62">
      <c r="A169" s="12" t="inlineStr">
        <is>
          <t>Aportante</t>
        </is>
      </c>
      <c r="B169" s="12" t="inlineStr">
        <is>
          <t>Monto aportado</t>
        </is>
      </c>
      <c r="C169" s="12" t="inlineStr">
        <is>
          <t>Notas</t>
        </is>
      </c>
    </row>
    <row r="170" ht="15" customHeight="1" s="62">
      <c r="A170" s="13" t="inlineStr">
        <is>
          <t>Socio 1</t>
        </is>
      </c>
      <c r="B170" s="14" t="n">
        <v>1200000</v>
      </c>
      <c r="C170" s="8" t="n"/>
    </row>
    <row r="171" ht="15" customHeight="1" s="62">
      <c r="A171" s="13" t="inlineStr">
        <is>
          <t>Socio 2</t>
        </is>
      </c>
      <c r="B171" s="14" t="n">
        <v>800000</v>
      </c>
      <c r="C171" s="8" t="n"/>
    </row>
    <row r="172" ht="15" customHeight="1" s="62">
      <c r="A172" s="16" t="n"/>
      <c r="B172" s="14" t="n"/>
      <c r="C172" s="8" t="n"/>
    </row>
    <row r="173" ht="15" customHeight="1" s="62">
      <c r="A173" s="16" t="n"/>
      <c r="B173" s="14" t="n"/>
      <c r="C173" s="8" t="n"/>
    </row>
    <row r="174" ht="15" customHeight="1" s="62">
      <c r="A174" s="16" t="n"/>
      <c r="B174" s="14" t="n"/>
      <c r="C174" s="8" t="n"/>
    </row>
    <row r="175" ht="15" customHeight="1" s="62">
      <c r="A175" s="16" t="n"/>
      <c r="B175" s="14" t="n"/>
      <c r="C175" s="8" t="n"/>
    </row>
    <row r="176" ht="15" customHeight="1" s="62">
      <c r="A176" s="16" t="n"/>
      <c r="B176" s="14" t="n"/>
      <c r="C176" s="8" t="n"/>
    </row>
    <row r="177" ht="15" customHeight="1" s="62">
      <c r="A177" s="16" t="n"/>
      <c r="B177" s="14" t="n"/>
      <c r="C177" s="8" t="n"/>
    </row>
    <row r="178" ht="15" customHeight="1" s="62">
      <c r="A178" s="16" t="n"/>
      <c r="B178" s="14" t="n"/>
      <c r="C178" s="8" t="n"/>
    </row>
    <row r="179" ht="15" customHeight="1" s="62">
      <c r="A179" s="16" t="n"/>
      <c r="B179" s="14" t="n"/>
      <c r="C179" s="8" t="n"/>
    </row>
    <row r="180" ht="15" customHeight="1" s="62">
      <c r="A180" s="16" t="n"/>
      <c r="B180" s="14" t="n"/>
      <c r="C180" s="8" t="n"/>
    </row>
    <row r="181" ht="15" customHeight="1" s="62">
      <c r="A181" s="16" t="n"/>
      <c r="B181" s="14" t="n"/>
      <c r="C181" s="8" t="n"/>
    </row>
    <row r="182" ht="15" customHeight="1" s="62">
      <c r="A182" s="16" t="n"/>
      <c r="B182" s="14" t="n"/>
      <c r="C182" s="8" t="n"/>
    </row>
    <row r="183" ht="15" customHeight="1" s="62">
      <c r="A183" s="16" t="n"/>
      <c r="B183" s="14" t="n"/>
      <c r="C183" s="8" t="n"/>
    </row>
    <row r="184" ht="15" customHeight="1" s="62">
      <c r="A184" s="16" t="n"/>
      <c r="B184" s="14" t="n"/>
      <c r="C184" s="8" t="n"/>
    </row>
    <row r="185" ht="15" customHeight="1" s="62">
      <c r="A185" s="16" t="n"/>
      <c r="B185" s="14" t="n"/>
      <c r="C185" s="8" t="n"/>
    </row>
    <row r="186" ht="15" customHeight="1" s="62">
      <c r="A186" s="16" t="n"/>
      <c r="B186" s="14" t="n"/>
      <c r="C186" s="8" t="n"/>
    </row>
    <row r="187" ht="15" customHeight="1" s="62">
      <c r="A187" s="16" t="n"/>
      <c r="B187" s="14" t="n"/>
      <c r="C187" s="8" t="n"/>
    </row>
    <row r="188" ht="15" customHeight="1" s="62">
      <c r="A188" s="16" t="n"/>
      <c r="B188" s="14" t="n"/>
      <c r="C188" s="8" t="n"/>
    </row>
    <row r="189" ht="15" customHeight="1" s="62">
      <c r="A189" s="16" t="n"/>
      <c r="B189" s="14" t="n"/>
      <c r="C189" s="8" t="n"/>
    </row>
    <row r="190" ht="15" customHeight="1" s="62">
      <c r="A190" s="16" t="n"/>
      <c r="B190" s="14" t="n"/>
      <c r="C190" s="8" t="n"/>
    </row>
    <row r="191" ht="15" customHeight="1" s="62">
      <c r="A191" s="16" t="n"/>
      <c r="B191" s="14" t="n"/>
      <c r="C191" s="8" t="n"/>
    </row>
    <row r="192" ht="15" customHeight="1" s="62">
      <c r="A192" s="16" t="n"/>
      <c r="B192" s="14" t="n"/>
      <c r="C192" s="8" t="n"/>
    </row>
    <row r="193" ht="15" customHeight="1" s="62">
      <c r="A193" s="16" t="n"/>
      <c r="B193" s="14" t="n"/>
      <c r="C193" s="8" t="n"/>
    </row>
    <row r="194" ht="15" customHeight="1" s="62">
      <c r="A194" s="16" t="n"/>
      <c r="B194" s="14" t="n"/>
      <c r="C194" s="8" t="n"/>
    </row>
    <row r="195" ht="15" customHeight="1" s="62">
      <c r="A195" s="16" t="n"/>
      <c r="B195" s="14" t="n"/>
      <c r="C195" s="8" t="n"/>
    </row>
    <row r="196" ht="15" customHeight="1" s="62">
      <c r="A196" s="16" t="n"/>
      <c r="B196" s="14" t="n"/>
      <c r="C196" s="8" t="n"/>
    </row>
    <row r="197" ht="15" customHeight="1" s="62">
      <c r="A197" s="16" t="n"/>
      <c r="B197" s="14" t="n"/>
      <c r="C197" s="8" t="n"/>
    </row>
    <row r="198" ht="15" customHeight="1" s="62">
      <c r="A198" s="16" t="n"/>
      <c r="B198" s="14" t="n"/>
      <c r="C198" s="8" t="n"/>
    </row>
    <row r="199" ht="15" customHeight="1" s="62">
      <c r="A199" s="16" t="n"/>
      <c r="B199" s="14" t="n"/>
      <c r="C199" s="8" t="n"/>
    </row>
    <row r="200" ht="15" customHeight="1" s="62">
      <c r="A200" s="16" t="n"/>
      <c r="B200" s="14" t="n"/>
      <c r="C200" s="8" t="n"/>
    </row>
    <row r="201" ht="15" customHeight="1" s="62">
      <c r="A201" s="16" t="n"/>
      <c r="B201" s="14" t="n"/>
      <c r="C201" s="8" t="n"/>
    </row>
    <row r="202" ht="15" customHeight="1" s="62">
      <c r="A202" s="16" t="n"/>
      <c r="B202" s="14" t="n"/>
      <c r="C202" s="8" t="n"/>
    </row>
    <row r="203" ht="15" customHeight="1" s="62">
      <c r="A203" s="16" t="n"/>
      <c r="B203" s="14" t="n"/>
      <c r="C203" s="8" t="n"/>
    </row>
    <row r="204" ht="15" customHeight="1" s="62">
      <c r="A204" s="16" t="n"/>
      <c r="B204" s="14" t="n"/>
      <c r="C204" s="8" t="n"/>
    </row>
    <row r="205" ht="15" customHeight="1" s="62">
      <c r="A205" s="16" t="n"/>
      <c r="B205" s="14" t="n"/>
      <c r="C205" s="8" t="n"/>
    </row>
    <row r="206" ht="15" customHeight="1" s="62">
      <c r="A206" s="16" t="n"/>
      <c r="B206" s="14" t="n"/>
      <c r="C206" s="8" t="n"/>
    </row>
    <row r="207" ht="15" customHeight="1" s="62">
      <c r="A207" s="16" t="n"/>
      <c r="B207" s="14" t="n"/>
      <c r="C207" s="8" t="n"/>
    </row>
    <row r="208" ht="15" customHeight="1" s="62">
      <c r="A208" s="16" t="n"/>
      <c r="B208" s="14" t="n"/>
      <c r="C208" s="8" t="n"/>
    </row>
    <row r="209" ht="15" customHeight="1" s="62">
      <c r="A209" s="16" t="n"/>
      <c r="B209" s="14" t="n"/>
      <c r="C209" s="8" t="n"/>
    </row>
    <row r="210" ht="15" customHeight="1" s="62">
      <c r="A210" s="16" t="n"/>
      <c r="B210" s="14" t="n"/>
      <c r="C210" s="8" t="n"/>
    </row>
    <row r="211" ht="15" customHeight="1" s="62">
      <c r="A211" s="16" t="n"/>
      <c r="B211" s="14" t="n"/>
      <c r="C211" s="8" t="n"/>
    </row>
    <row r="212" ht="15" customHeight="1" s="62">
      <c r="A212" s="16" t="n"/>
      <c r="B212" s="14" t="n"/>
      <c r="C212" s="8" t="n"/>
    </row>
    <row r="213" ht="15" customHeight="1" s="62">
      <c r="A213" s="16" t="n"/>
      <c r="B213" s="14" t="n"/>
      <c r="C213" s="8" t="n"/>
    </row>
    <row r="214" ht="15" customHeight="1" s="62">
      <c r="A214" s="16" t="n"/>
      <c r="B214" s="14" t="n"/>
      <c r="C214" s="8" t="n"/>
    </row>
    <row r="215" ht="15" customHeight="1" s="62">
      <c r="A215" s="16" t="n"/>
      <c r="B215" s="14" t="n"/>
      <c r="C215" s="8" t="n"/>
    </row>
    <row r="216" ht="15" customHeight="1" s="62">
      <c r="A216" s="16" t="n"/>
      <c r="B216" s="14" t="n"/>
      <c r="C216" s="8" t="n"/>
    </row>
    <row r="217" ht="15" customHeight="1" s="62">
      <c r="A217" s="16" t="n"/>
      <c r="B217" s="14" t="n"/>
      <c r="C217" s="8" t="n"/>
    </row>
    <row r="218" ht="15" customHeight="1" s="62">
      <c r="A218" s="16" t="n"/>
      <c r="B218" s="14" t="n"/>
      <c r="C218" s="8" t="n"/>
    </row>
    <row r="219" ht="15" customHeight="1" s="62">
      <c r="A219" s="16" t="n"/>
      <c r="B219" s="14" t="n"/>
      <c r="C219" s="8" t="n"/>
    </row>
    <row r="221" ht="15" customHeight="1" s="62">
      <c r="A221" s="3" t="inlineStr">
        <is>
          <t>D) Verificación</t>
        </is>
      </c>
    </row>
    <row r="222" ht="15" customHeight="1" s="62">
      <c r="A222" s="13" t="inlineStr">
        <is>
          <t>Total Capital Aportado</t>
        </is>
      </c>
      <c r="B222" s="18">
        <f>B168</f>
        <v/>
      </c>
    </row>
    <row r="223" ht="15" customHeight="1" s="62">
      <c r="A223" s="13" t="inlineStr">
        <is>
          <t>Total de Fondos Necesarios</t>
        </is>
      </c>
      <c r="B223" s="18">
        <f>B164</f>
        <v/>
      </c>
    </row>
    <row r="224" ht="15" customHeight="1" s="62">
      <c r="A224" s="21" t="inlineStr">
        <is>
          <t>Diferencia (Excedente / Faltante)</t>
        </is>
      </c>
      <c r="B224" s="22">
        <f>B222-B223</f>
        <v/>
      </c>
    </row>
    <row r="225" ht="15" customHeight="1" s="62">
      <c r="A225" s="21" t="inlineStr">
        <is>
          <t>Estado</t>
        </is>
      </c>
      <c r="B225" s="23">
        <f>IF(B224&gt;=0,"Capital suficiente ✓","FALTAN FONDOS ✗")</f>
        <v/>
      </c>
    </row>
  </sheetData>
  <mergeCells count="2">
    <mergeCell ref="A1:D1"/>
    <mergeCell ref="A3:D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zoomScaleNormal="100" workbookViewId="0">
      <pane ySplit="5" topLeftCell="A6" activePane="bottomLeft" state="frozen"/>
      <selection pane="bottomLeft" activeCell="D9" sqref="D9"/>
    </sheetView>
  </sheetViews>
  <sheetFormatPr baseColWidth="10" defaultColWidth="8.7109375" defaultRowHeight="15"/>
  <cols>
    <col width="42" customWidth="1" style="62" min="1" max="1"/>
    <col width="16" customWidth="1" style="62" min="2" max="2"/>
    <col width="14" customWidth="1" style="62" min="3" max="3"/>
    <col width="16" customWidth="1" style="62" min="4" max="4"/>
    <col width="18" customWidth="1" style="62" min="5" max="5"/>
  </cols>
  <sheetData>
    <row r="1" ht="25.5" customHeight="1" s="62">
      <c r="A1" s="68" t="inlineStr">
        <is>
          <t>Costos Generales (compartidos por todas las milanesas)</t>
        </is>
      </c>
    </row>
    <row r="3" ht="15" customHeight="1" s="62">
      <c r="A3" s="3" t="inlineStr">
        <is>
          <t>A) Costos Generales POR LOTE (por kg de carne procesada)</t>
        </is>
      </c>
    </row>
    <row r="4" ht="24" customHeight="1" s="62">
      <c r="A4" s="71" t="inlineStr">
        <is>
          <t>TOTAL GENERALES POR LOTE</t>
        </is>
      </c>
      <c r="B4" s="59" t="n"/>
      <c r="C4" s="59" t="n"/>
      <c r="D4" s="60" t="n"/>
      <c r="E4" s="24">
        <f>SUM(E6:E35)</f>
        <v/>
      </c>
    </row>
    <row r="5" ht="25.5" customHeight="1" s="62">
      <c r="A5" s="12" t="inlineStr">
        <is>
          <t>Insumo</t>
        </is>
      </c>
      <c r="B5" s="12" t="inlineStr">
        <is>
          <t>Cantidad</t>
        </is>
      </c>
      <c r="C5" s="12" t="inlineStr">
        <is>
          <t>Unidad</t>
        </is>
      </c>
      <c r="D5" s="12" t="inlineStr">
        <is>
          <t>Costo unitario
($ por la unidad elegida)</t>
        </is>
      </c>
      <c r="E5" s="12" t="inlineStr">
        <is>
          <t>Costo de la línea</t>
        </is>
      </c>
    </row>
    <row r="6" ht="15" customHeight="1" s="62">
      <c r="A6" s="13" t="inlineStr">
        <is>
          <t>Huevo</t>
        </is>
      </c>
      <c r="B6" s="25" t="n">
        <v>2</v>
      </c>
      <c r="C6" s="13" t="inlineStr">
        <is>
          <t>unidades</t>
        </is>
      </c>
      <c r="D6" s="26" t="n">
        <v>160</v>
      </c>
      <c r="E6" s="27">
        <f>IF(OR(B6="",D6=""),0,B6*D6)</f>
        <v/>
      </c>
    </row>
    <row r="7" ht="15" customHeight="1" s="62">
      <c r="A7" s="13" t="inlineStr">
        <is>
          <t>Sal</t>
        </is>
      </c>
      <c r="B7" s="25" t="n">
        <v>10</v>
      </c>
      <c r="C7" s="13" t="inlineStr">
        <is>
          <t>g</t>
        </is>
      </c>
      <c r="D7" s="26" t="n">
        <v>0.6</v>
      </c>
      <c r="E7" s="27">
        <f>IF(OR(B7="",D7=""),0,B7*D7)</f>
        <v/>
      </c>
    </row>
    <row r="8" ht="15" customHeight="1" s="62">
      <c r="A8" s="13" t="inlineStr">
        <is>
          <t xml:space="preserve">Etiqueta </t>
        </is>
      </c>
      <c r="B8" s="25" t="n">
        <v>1</v>
      </c>
      <c r="C8" s="13" t="inlineStr">
        <is>
          <t>unidad</t>
        </is>
      </c>
      <c r="D8" s="26" t="n">
        <v>164</v>
      </c>
      <c r="E8" s="27">
        <f>IF(OR(B8="",D8=""),0,B8*D8)</f>
        <v/>
      </c>
    </row>
    <row r="9" ht="15" customHeight="1" s="62">
      <c r="A9" s="13" t="inlineStr">
        <is>
          <t>Bandeja</t>
        </is>
      </c>
      <c r="B9" s="25" t="n">
        <v>1</v>
      </c>
      <c r="C9" s="13" t="inlineStr">
        <is>
          <t>unidad</t>
        </is>
      </c>
      <c r="D9" s="26" t="n">
        <v>90</v>
      </c>
      <c r="E9" s="27">
        <f>IF(OR(B9="",D9=""),0,B9*D9)</f>
        <v/>
      </c>
    </row>
    <row r="10" ht="15" customHeight="1" s="62">
      <c r="A10" s="13" t="n"/>
      <c r="B10" s="25" t="n"/>
      <c r="C10" s="13" t="inlineStr">
        <is>
          <t>unidad</t>
        </is>
      </c>
      <c r="D10" s="26" t="n"/>
      <c r="E10" s="27">
        <f>IF(OR(B10="",D10=""),0,B10*D10)</f>
        <v/>
      </c>
    </row>
    <row r="11" ht="15" customHeight="1" s="62">
      <c r="A11" s="16" t="n"/>
      <c r="B11" s="25" t="n"/>
      <c r="C11" s="16" t="n"/>
      <c r="D11" s="26" t="n"/>
      <c r="E11" s="27">
        <f>IF(OR(B11="",D11=""),0,B11*D11)</f>
        <v/>
      </c>
    </row>
    <row r="12" ht="15" customHeight="1" s="62">
      <c r="A12" s="16" t="n"/>
      <c r="B12" s="25" t="n"/>
      <c r="C12" s="16" t="n"/>
      <c r="D12" s="26" t="n"/>
      <c r="E12" s="27">
        <f>IF(OR(B12="",D12=""),0,B12*D12)</f>
        <v/>
      </c>
    </row>
    <row r="13" ht="15" customHeight="1" s="62">
      <c r="A13" s="16" t="n"/>
      <c r="B13" s="25" t="n"/>
      <c r="C13" s="16" t="n"/>
      <c r="D13" s="26" t="n"/>
      <c r="E13" s="27">
        <f>IF(OR(B13="",D13=""),0,B13*D13)</f>
        <v/>
      </c>
    </row>
    <row r="14" ht="15" customHeight="1" s="62">
      <c r="A14" s="16" t="n"/>
      <c r="B14" s="25" t="n"/>
      <c r="C14" s="16" t="n"/>
      <c r="D14" s="26" t="n"/>
      <c r="E14" s="27">
        <f>IF(OR(B14="",D14=""),0,B14*D14)</f>
        <v/>
      </c>
    </row>
    <row r="15" ht="15" customHeight="1" s="62">
      <c r="A15" s="16" t="n"/>
      <c r="B15" s="25" t="n"/>
      <c r="C15" s="16" t="n"/>
      <c r="D15" s="26" t="n"/>
      <c r="E15" s="27">
        <f>IF(OR(B15="",D15=""),0,B15*D15)</f>
        <v/>
      </c>
    </row>
    <row r="16" ht="15" customHeight="1" s="62">
      <c r="A16" s="16" t="n"/>
      <c r="B16" s="25" t="n"/>
      <c r="C16" s="16" t="n"/>
      <c r="D16" s="26" t="n"/>
      <c r="E16" s="27">
        <f>IF(OR(B16="",D16=""),0,B16*D16)</f>
        <v/>
      </c>
    </row>
    <row r="17" ht="15" customHeight="1" s="62">
      <c r="A17" s="16" t="n"/>
      <c r="B17" s="25" t="n"/>
      <c r="C17" s="16" t="n"/>
      <c r="D17" s="26" t="n"/>
      <c r="E17" s="27">
        <f>IF(OR(B17="",D17=""),0,B17*D17)</f>
        <v/>
      </c>
    </row>
    <row r="18" ht="15" customHeight="1" s="62">
      <c r="A18" s="16" t="n"/>
      <c r="B18" s="25" t="n"/>
      <c r="C18" s="16" t="n"/>
      <c r="D18" s="26" t="n"/>
      <c r="E18" s="27">
        <f>IF(OR(B18="",D18=""),0,B18*D18)</f>
        <v/>
      </c>
    </row>
    <row r="19" ht="15" customHeight="1" s="62">
      <c r="A19" s="16" t="n"/>
      <c r="B19" s="25" t="n"/>
      <c r="C19" s="16" t="n"/>
      <c r="D19" s="26" t="n"/>
      <c r="E19" s="27">
        <f>IF(OR(B19="",D19=""),0,B19*D19)</f>
        <v/>
      </c>
    </row>
    <row r="20" ht="15" customHeight="1" s="62">
      <c r="A20" s="16" t="n"/>
      <c r="B20" s="25" t="n"/>
      <c r="C20" s="16" t="n"/>
      <c r="D20" s="26" t="n"/>
      <c r="E20" s="27">
        <f>IF(OR(B20="",D20=""),0,B20*D20)</f>
        <v/>
      </c>
    </row>
    <row r="21" ht="15" customHeight="1" s="62">
      <c r="A21" s="16" t="n"/>
      <c r="B21" s="25" t="n"/>
      <c r="C21" s="16" t="n"/>
      <c r="D21" s="26" t="n"/>
      <c r="E21" s="27">
        <f>IF(OR(B21="",D21=""),0,B21*D21)</f>
        <v/>
      </c>
    </row>
    <row r="22" ht="15" customHeight="1" s="62">
      <c r="A22" s="16" t="n"/>
      <c r="B22" s="25" t="n"/>
      <c r="C22" s="16" t="n"/>
      <c r="D22" s="26" t="n"/>
      <c r="E22" s="27">
        <f>IF(OR(B22="",D22=""),0,B22*D22)</f>
        <v/>
      </c>
    </row>
    <row r="23" ht="15" customHeight="1" s="62">
      <c r="A23" s="16" t="n"/>
      <c r="B23" s="25" t="n"/>
      <c r="C23" s="16" t="n"/>
      <c r="D23" s="26" t="n"/>
      <c r="E23" s="27">
        <f>IF(OR(B23="",D23=""),0,B23*D23)</f>
        <v/>
      </c>
    </row>
    <row r="24" ht="15" customHeight="1" s="62">
      <c r="A24" s="16" t="n"/>
      <c r="B24" s="25" t="n"/>
      <c r="C24" s="16" t="n"/>
      <c r="D24" s="26" t="n"/>
      <c r="E24" s="27">
        <f>IF(OR(B24="",D24=""),0,B24*D24)</f>
        <v/>
      </c>
    </row>
    <row r="25" ht="15" customHeight="1" s="62">
      <c r="A25" s="16" t="n"/>
      <c r="B25" s="25" t="n"/>
      <c r="C25" s="16" t="n"/>
      <c r="D25" s="26" t="n"/>
      <c r="E25" s="27">
        <f>IF(OR(B25="",D25=""),0,B25*D25)</f>
        <v/>
      </c>
    </row>
    <row r="26" ht="15" customHeight="1" s="62">
      <c r="A26" s="16" t="n"/>
      <c r="B26" s="25" t="n"/>
      <c r="C26" s="16" t="n"/>
      <c r="D26" s="26" t="n"/>
      <c r="E26" s="27">
        <f>IF(OR(B26="",D26=""),0,B26*D26)</f>
        <v/>
      </c>
    </row>
    <row r="27" ht="15" customHeight="1" s="62">
      <c r="A27" s="16" t="n"/>
      <c r="B27" s="25" t="n"/>
      <c r="C27" s="16" t="n"/>
      <c r="D27" s="26" t="n"/>
      <c r="E27" s="27">
        <f>IF(OR(B27="",D27=""),0,B27*D27)</f>
        <v/>
      </c>
    </row>
    <row r="28" ht="15" customHeight="1" s="62">
      <c r="A28" s="16" t="n"/>
      <c r="B28" s="25" t="n"/>
      <c r="C28" s="16" t="n"/>
      <c r="D28" s="26" t="n"/>
      <c r="E28" s="27">
        <f>IF(OR(B28="",D28=""),0,B28*D28)</f>
        <v/>
      </c>
    </row>
    <row r="29" ht="15" customHeight="1" s="62">
      <c r="A29" s="16" t="n"/>
      <c r="B29" s="25" t="n"/>
      <c r="C29" s="16" t="n"/>
      <c r="D29" s="26" t="n"/>
      <c r="E29" s="27">
        <f>IF(OR(B29="",D29=""),0,B29*D29)</f>
        <v/>
      </c>
    </row>
    <row r="30" ht="15" customHeight="1" s="62">
      <c r="A30" s="16" t="n"/>
      <c r="B30" s="25" t="n"/>
      <c r="C30" s="16" t="n"/>
      <c r="D30" s="26" t="n"/>
      <c r="E30" s="27">
        <f>IF(OR(B30="",D30=""),0,B30*D30)</f>
        <v/>
      </c>
    </row>
    <row r="31" ht="15" customHeight="1" s="62">
      <c r="A31" s="16" t="n"/>
      <c r="B31" s="25" t="n"/>
      <c r="C31" s="16" t="n"/>
      <c r="D31" s="26" t="n"/>
      <c r="E31" s="27">
        <f>IF(OR(B31="",D31=""),0,B31*D31)</f>
        <v/>
      </c>
    </row>
    <row r="32" ht="15" customHeight="1" s="62">
      <c r="A32" s="16" t="n"/>
      <c r="B32" s="25" t="n"/>
      <c r="C32" s="16" t="n"/>
      <c r="D32" s="26" t="n"/>
      <c r="E32" s="27">
        <f>IF(OR(B32="",D32=""),0,B32*D32)</f>
        <v/>
      </c>
    </row>
    <row r="33" ht="15" customHeight="1" s="62">
      <c r="A33" s="16" t="n"/>
      <c r="B33" s="25" t="n"/>
      <c r="C33" s="16" t="n"/>
      <c r="D33" s="26" t="n"/>
      <c r="E33" s="27">
        <f>IF(OR(B33="",D33=""),0,B33*D33)</f>
        <v/>
      </c>
    </row>
    <row r="34" ht="15" customHeight="1" s="62">
      <c r="A34" s="16" t="n"/>
      <c r="B34" s="25" t="n"/>
      <c r="C34" s="16" t="n"/>
      <c r="D34" s="26" t="n"/>
      <c r="E34" s="27">
        <f>IF(OR(B34="",D34=""),0,B34*D34)</f>
        <v/>
      </c>
    </row>
    <row r="35" ht="15" customHeight="1" s="62">
      <c r="A35" s="16" t="n"/>
      <c r="B35" s="25" t="n"/>
      <c r="C35" s="16" t="n"/>
      <c r="D35" s="26" t="n"/>
      <c r="E35" s="27">
        <f>IF(OR(B35="",D35=""),0,B35*D35)</f>
        <v/>
      </c>
    </row>
    <row r="37" ht="15" customHeight="1" s="62">
      <c r="A37" s="3" t="inlineStr">
        <is>
          <t>B) Parámetros generales</t>
        </is>
      </c>
    </row>
    <row r="38" ht="15" customHeight="1" s="62">
      <c r="A38" s="13" t="inlineStr">
        <is>
          <t>Comisión tarjeta / app (%)</t>
        </is>
      </c>
      <c r="B38" s="28" t="n">
        <v>0.01</v>
      </c>
    </row>
    <row r="39" ht="15" customHeight="1" s="62">
      <c r="A39" s="13" t="inlineStr">
        <is>
          <t>% Margen de seguridad / desperdicio (opcional)</t>
        </is>
      </c>
      <c r="B39" s="28" t="n">
        <v>0</v>
      </c>
    </row>
  </sheetData>
  <mergeCells count="2">
    <mergeCell ref="A1:E1"/>
    <mergeCell ref="A4:D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9"/>
  <sheetViews>
    <sheetView topLeftCell="A112" workbookViewId="0">
      <selection activeCell="B132" sqref="B132"/>
    </sheetView>
  </sheetViews>
  <sheetFormatPr baseColWidth="10" defaultColWidth="9.140625" defaultRowHeight="15"/>
  <cols>
    <col width="42" customWidth="1" style="62" min="1" max="1"/>
    <col width="16" customWidth="1" style="62" min="2" max="2"/>
    <col width="13" customWidth="1" style="62" min="3" max="4"/>
    <col width="18" customWidth="1" style="62" min="5" max="5"/>
    <col width="13" customWidth="1" style="62" min="6" max="6"/>
  </cols>
  <sheetData>
    <row r="1" ht="18" customHeight="1" s="62">
      <c r="A1" s="64" t="inlineStr">
        <is>
          <t>Recetas — Pollo</t>
        </is>
      </c>
    </row>
    <row r="2"/>
    <row r="3">
      <c r="A3" s="65" t="inlineStr">
        <is>
          <t>Todas las cantidades de cada receta están pensadas para procesar 1 kg de carne cruda.</t>
        </is>
      </c>
    </row>
    <row r="4"/>
    <row r="5" ht="15.75" customHeight="1" s="62">
      <c r="A5" s="61" t="inlineStr">
        <is>
          <t>Suprema Tradicional (Pollo)</t>
        </is>
      </c>
    </row>
    <row r="6">
      <c r="A6" s="63" t="inlineStr">
        <is>
          <t>TOTAL INSUMOS ESPECÍFICOS (por kg de carne)</t>
        </is>
      </c>
      <c r="B6" s="59" t="n"/>
      <c r="C6" s="59" t="n"/>
      <c r="D6" s="60" t="n"/>
      <c r="E6" s="29">
        <f>SUM(E8:E23)</f>
        <v/>
      </c>
      <c r="F6" s="30" t="n"/>
    </row>
    <row r="7" ht="30" customHeight="1" s="62">
      <c r="A7" s="31" t="inlineStr">
        <is>
          <t>Insumo</t>
        </is>
      </c>
      <c r="B7" s="31" t="inlineStr">
        <is>
          <t>Cantidad</t>
        </is>
      </c>
      <c r="C7" s="31" t="inlineStr">
        <is>
          <t>Unidad</t>
        </is>
      </c>
      <c r="D7" s="31" t="inlineStr">
        <is>
          <t>Costo unitario</t>
        </is>
      </c>
      <c r="E7" s="31" t="inlineStr">
        <is>
          <t>Costo de la línea</t>
        </is>
      </c>
      <c r="F7" s="30" t="n"/>
    </row>
    <row r="8">
      <c r="A8" s="32" t="inlineStr">
        <is>
          <t>Oregano</t>
        </is>
      </c>
      <c r="B8" s="33" t="n">
        <v>2</v>
      </c>
      <c r="C8" s="32" t="inlineStr">
        <is>
          <t>g</t>
        </is>
      </c>
      <c r="D8" s="34" t="n">
        <v>12</v>
      </c>
      <c r="E8" s="35">
        <f>IF(OR(B8="",D8=""),0,B8*D8)</f>
        <v/>
      </c>
      <c r="F8" s="30" t="n"/>
    </row>
    <row r="9">
      <c r="A9" s="32" t="inlineStr">
        <is>
          <t>Provenzal</t>
        </is>
      </c>
      <c r="B9" s="33" t="n">
        <v>2</v>
      </c>
      <c r="C9" s="32" t="inlineStr">
        <is>
          <t>g</t>
        </is>
      </c>
      <c r="D9" s="34" t="n">
        <v>12</v>
      </c>
      <c r="E9" s="35">
        <f>IF(OR(B9="",D9=""),0,B9*D9)</f>
        <v/>
      </c>
      <c r="F9" s="30" t="n"/>
    </row>
    <row r="10">
      <c r="A10" s="36" t="inlineStr">
        <is>
          <t>Pechuga de pollo</t>
        </is>
      </c>
      <c r="B10" s="37" t="n">
        <v>1000</v>
      </c>
      <c r="C10" s="32" t="inlineStr">
        <is>
          <t>g</t>
        </is>
      </c>
      <c r="D10" s="38" t="n">
        <v>6.5</v>
      </c>
      <c r="E10" s="38">
        <f>IF(OR(B10="",D10=""),0,B10*D10)</f>
        <v/>
      </c>
      <c r="F10" s="30" t="n"/>
    </row>
    <row r="11">
      <c r="A11" s="32" t="inlineStr">
        <is>
          <t>Pan rayado</t>
        </is>
      </c>
      <c r="B11" s="39" t="n">
        <v>200</v>
      </c>
      <c r="C11" s="32" t="inlineStr">
        <is>
          <t>g</t>
        </is>
      </c>
      <c r="D11" s="34" t="n">
        <v>1.8</v>
      </c>
      <c r="E11" s="35">
        <f>IF(OR(B11="",D11=""),0,B11*D11)</f>
        <v/>
      </c>
      <c r="F11" s="30" t="n"/>
    </row>
    <row r="12">
      <c r="A12" s="40" t="inlineStr">
        <is>
          <t>Rebozador</t>
        </is>
      </c>
      <c r="B12" s="33" t="n">
        <v>50</v>
      </c>
      <c r="C12" s="40" t="inlineStr">
        <is>
          <t>g</t>
        </is>
      </c>
      <c r="D12" s="34" t="n">
        <v>2.5</v>
      </c>
      <c r="E12" s="35">
        <f>IF(OR(B12="",D12=""),0,B12*D12)</f>
        <v/>
      </c>
      <c r="F12" s="30" t="n"/>
    </row>
    <row r="13">
      <c r="A13" s="40" t="n"/>
      <c r="B13" s="33" t="n"/>
      <c r="C13" s="40" t="n"/>
      <c r="D13" s="34" t="n"/>
      <c r="E13" s="35">
        <f>IF(OR(B13="",D13=""),0,B13*D13)</f>
        <v/>
      </c>
      <c r="F13" s="30" t="n"/>
    </row>
    <row r="14">
      <c r="A14" s="40" t="n"/>
      <c r="B14" s="33" t="n"/>
      <c r="C14" s="40" t="n"/>
      <c r="D14" s="34" t="n"/>
      <c r="E14" s="35">
        <f>IF(OR(B14="",D14=""),0,B14*D14)</f>
        <v/>
      </c>
      <c r="F14" s="30" t="n"/>
    </row>
    <row r="15">
      <c r="A15" s="40" t="n"/>
      <c r="B15" s="33" t="n"/>
      <c r="C15" s="40" t="n"/>
      <c r="D15" s="34" t="n"/>
      <c r="E15" s="35">
        <f>IF(OR(B15="",D15=""),0,B15*D15)</f>
        <v/>
      </c>
      <c r="F15" s="30" t="n"/>
    </row>
    <row r="16">
      <c r="A16" s="40" t="n"/>
      <c r="B16" s="33" t="n"/>
      <c r="C16" s="40" t="n"/>
      <c r="D16" s="34" t="n"/>
      <c r="E16" s="35">
        <f>IF(OR(B16="",D16=""),0,B16*D16)</f>
        <v/>
      </c>
      <c r="F16" s="30" t="n"/>
    </row>
    <row r="17">
      <c r="A17" s="40" t="n"/>
      <c r="B17" s="33" t="n"/>
      <c r="C17" s="40" t="n"/>
      <c r="D17" s="34" t="n"/>
      <c r="E17" s="35">
        <f>IF(OR(B17="",D17=""),0,B17*D17)</f>
        <v/>
      </c>
      <c r="F17" s="30" t="n"/>
    </row>
    <row r="18">
      <c r="A18" s="40" t="n"/>
      <c r="B18" s="33" t="n"/>
      <c r="C18" s="40" t="n"/>
      <c r="D18" s="34" t="n"/>
      <c r="E18" s="35">
        <f>IF(OR(B18="",D18=""),0,B18*D18)</f>
        <v/>
      </c>
      <c r="F18" s="30" t="n"/>
    </row>
    <row r="19">
      <c r="A19" s="40" t="n"/>
      <c r="B19" s="33" t="n"/>
      <c r="C19" s="40" t="n"/>
      <c r="D19" s="34" t="n"/>
      <c r="E19" s="35">
        <f>IF(OR(B19="",D19=""),0,B19*D19)</f>
        <v/>
      </c>
      <c r="F19" s="30" t="n"/>
    </row>
    <row r="20">
      <c r="A20" s="40" t="n"/>
      <c r="B20" s="33" t="n"/>
      <c r="C20" s="40" t="n"/>
      <c r="D20" s="34" t="n"/>
      <c r="E20" s="35">
        <f>IF(OR(B20="",D20=""),0,B20*D20)</f>
        <v/>
      </c>
      <c r="F20" s="30" t="n"/>
    </row>
    <row r="21">
      <c r="A21" s="40" t="n"/>
      <c r="B21" s="33" t="n"/>
      <c r="C21" s="40" t="n"/>
      <c r="D21" s="34" t="n"/>
      <c r="E21" s="35">
        <f>IF(OR(B21="",D21=""),0,B21*D21)</f>
        <v/>
      </c>
      <c r="F21" s="30" t="n"/>
    </row>
    <row r="22">
      <c r="A22" s="40" t="n"/>
      <c r="B22" s="33" t="n"/>
      <c r="C22" s="40" t="n"/>
      <c r="D22" s="34" t="n"/>
      <c r="E22" s="35">
        <f>IF(OR(B22="",D22=""),0,B22*D22)</f>
        <v/>
      </c>
      <c r="F22" s="30" t="n"/>
    </row>
    <row r="23">
      <c r="A23" s="40" t="n"/>
      <c r="B23" s="33" t="n"/>
      <c r="C23" s="40" t="n"/>
      <c r="D23" s="34" t="n"/>
      <c r="E23" s="35">
        <f>IF(OR(B23="",D23=""),0,B23*D23)</f>
        <v/>
      </c>
      <c r="F23" s="30" t="n"/>
    </row>
    <row r="24">
      <c r="A24" s="32" t="inlineStr">
        <is>
          <t>Costo Insumos Específicos (por kg carne)</t>
        </is>
      </c>
      <c r="B24" s="35">
        <f>E6</f>
        <v/>
      </c>
      <c r="C24" s="30" t="n"/>
      <c r="D24" s="30" t="n"/>
      <c r="E24" s="30" t="n"/>
      <c r="F24" s="30" t="n"/>
    </row>
    <row r="25">
      <c r="A25" s="32" t="inlineStr">
        <is>
          <t>Costos Generales por Lote (huevo, sal, etc.)</t>
        </is>
      </c>
      <c r="B25" s="35">
        <f>'Costos Generales'!E4</f>
        <v/>
      </c>
      <c r="C25" s="30" t="n"/>
      <c r="D25" s="30" t="n"/>
      <c r="E25" s="30" t="n"/>
      <c r="F25" s="30" t="n"/>
    </row>
    <row r="26">
      <c r="A26" s="41" t="inlineStr">
        <is>
          <t>Costo Total del Lote (subtotal)</t>
        </is>
      </c>
      <c r="B26" s="42">
        <f>B24+B25</f>
        <v/>
      </c>
      <c r="C26" s="30" t="n"/>
      <c r="D26" s="30" t="n"/>
      <c r="E26" s="30" t="n"/>
      <c r="F26" s="30" t="n"/>
    </row>
    <row r="27">
      <c r="A27" s="32" t="inlineStr">
        <is>
          <t>Peso final del lote rebozado (kg) [Ej: 1.35 a 1.40 kg por kg carne]</t>
        </is>
      </c>
      <c r="B27" s="43" t="n">
        <v>1.35</v>
      </c>
      <c r="C27" s="30" t="n"/>
      <c r="D27" s="30" t="n"/>
      <c r="E27" s="30" t="n"/>
      <c r="F27" s="30" t="n"/>
    </row>
    <row r="28">
      <c r="A28" s="32" t="inlineStr">
        <is>
          <t>Peso por milanesa (g)</t>
        </is>
      </c>
      <c r="B28" s="37" t="n">
        <v>180</v>
      </c>
      <c r="C28" s="30" t="n"/>
      <c r="D28" s="30" t="n"/>
      <c r="E28" s="30" t="n"/>
      <c r="F28" s="30" t="n"/>
    </row>
    <row r="29">
      <c r="A29" s="32" t="inlineStr">
        <is>
          <t>Unidades por lote</t>
        </is>
      </c>
      <c r="B29" s="44">
        <f>IF(OR(B27="",B28="",B28=0),0,(B27*1000)/B28)</f>
        <v/>
      </c>
      <c r="C29" s="30" t="n"/>
      <c r="D29" s="30" t="n"/>
      <c r="E29" s="30" t="n"/>
      <c r="F29" s="30" t="n"/>
    </row>
    <row r="30">
      <c r="A30" s="32" t="inlineStr">
        <is>
          <t>Costo del lote por unidad</t>
        </is>
      </c>
      <c r="B30" s="35">
        <f>IF(B29=0,0,B26/B29)</f>
        <v/>
      </c>
      <c r="C30" s="30" t="n"/>
      <c r="D30" s="30" t="n"/>
      <c r="E30" s="30" t="n"/>
      <c r="F30" s="30" t="n"/>
    </row>
    <row r="31">
      <c r="A31" s="45" t="inlineStr">
        <is>
          <t>COSTO FINAL POR MILANESA</t>
        </is>
      </c>
      <c r="B31" s="46">
        <f>B30/(1-'Costos Generales'!B39)</f>
        <v/>
      </c>
      <c r="C31" s="30" t="n"/>
      <c r="D31" s="30" t="n"/>
      <c r="E31" s="30" t="n"/>
      <c r="F31" s="30" t="n"/>
    </row>
    <row r="32">
      <c r="A32" s="30" t="n"/>
      <c r="B32" s="30" t="n"/>
      <c r="C32" s="30" t="n"/>
      <c r="D32" s="30" t="n"/>
      <c r="E32" s="30" t="n"/>
      <c r="F32" s="30" t="n"/>
    </row>
    <row r="33">
      <c r="A33" s="30" t="n"/>
      <c r="B33" s="30" t="n"/>
      <c r="C33" s="30" t="n"/>
      <c r="D33" s="30" t="n"/>
      <c r="E33" s="30" t="n"/>
      <c r="F33" s="30" t="n"/>
    </row>
    <row r="34" ht="15.75" customHeight="1" s="62">
      <c r="A34" s="61" t="inlineStr">
        <is>
          <t>Suprema Parmesana (Pollo)</t>
        </is>
      </c>
    </row>
    <row r="35">
      <c r="A35" s="63" t="inlineStr">
        <is>
          <t>TOTAL INSUMOS ESPECÍFICOS (por kg de carne)</t>
        </is>
      </c>
      <c r="B35" s="59" t="n"/>
      <c r="C35" s="59" t="n"/>
      <c r="D35" s="60" t="n"/>
      <c r="E35" s="29">
        <f>SUM(E37:E52)</f>
        <v/>
      </c>
      <c r="F35" s="30" t="n"/>
    </row>
    <row r="36" ht="30" customHeight="1" s="62">
      <c r="A36" s="31" t="inlineStr">
        <is>
          <t>Insumo</t>
        </is>
      </c>
      <c r="B36" s="31" t="inlineStr">
        <is>
          <t>Cantidad</t>
        </is>
      </c>
      <c r="C36" s="31" t="inlineStr">
        <is>
          <t>Unidad</t>
        </is>
      </c>
      <c r="D36" s="31" t="inlineStr">
        <is>
          <t>Costo unitario</t>
        </is>
      </c>
      <c r="E36" s="31" t="inlineStr">
        <is>
          <t>Costo de la línea</t>
        </is>
      </c>
      <c r="F36" s="30" t="n"/>
    </row>
    <row r="37">
      <c r="A37" s="32" t="inlineStr">
        <is>
          <t>Oregano</t>
        </is>
      </c>
      <c r="B37" s="33" t="n">
        <v>2</v>
      </c>
      <c r="C37" s="32" t="inlineStr">
        <is>
          <t>g</t>
        </is>
      </c>
      <c r="D37" s="34" t="n">
        <v>12</v>
      </c>
      <c r="E37" s="35">
        <f>IF(OR(B37="",D37=""),0,B37*D37)</f>
        <v/>
      </c>
      <c r="F37" s="30" t="n"/>
    </row>
    <row r="38">
      <c r="A38" s="32" t="inlineStr">
        <is>
          <t>Pechuga de pollo</t>
        </is>
      </c>
      <c r="B38" s="33" t="n">
        <v>1000</v>
      </c>
      <c r="C38" s="32" t="inlineStr">
        <is>
          <t>g</t>
        </is>
      </c>
      <c r="D38" s="34" t="n">
        <v>6.5</v>
      </c>
      <c r="E38" s="35">
        <f>IF(OR(B38="",D38=""),0,B38*D38)</f>
        <v/>
      </c>
      <c r="F38" s="30" t="n"/>
    </row>
    <row r="39">
      <c r="A39" s="32" t="inlineStr">
        <is>
          <t>Pan rayado</t>
        </is>
      </c>
      <c r="B39" s="33" t="n">
        <v>200</v>
      </c>
      <c r="C39" s="32" t="inlineStr">
        <is>
          <t>g</t>
        </is>
      </c>
      <c r="D39" s="34" t="n">
        <v>1.8</v>
      </c>
      <c r="E39" s="35">
        <f>IF(OR(B39="",D39=""),0,B39*D39)</f>
        <v/>
      </c>
      <c r="F39" s="30" t="n"/>
    </row>
    <row r="40">
      <c r="A40" s="32" t="inlineStr">
        <is>
          <t>Parmesano</t>
        </is>
      </c>
      <c r="B40" s="33" t="n">
        <v>5</v>
      </c>
      <c r="C40" s="32" t="inlineStr">
        <is>
          <t>g</t>
        </is>
      </c>
      <c r="D40" s="34" t="n">
        <v>18</v>
      </c>
      <c r="E40" s="35">
        <f>IF(OR(B40="",D40=""),0,B40*D40)</f>
        <v/>
      </c>
      <c r="F40" s="30" t="n"/>
    </row>
    <row r="41">
      <c r="A41" s="36" t="n"/>
      <c r="B41" s="37" t="n"/>
      <c r="C41" s="32" t="inlineStr">
        <is>
          <t>g</t>
        </is>
      </c>
      <c r="D41" s="38" t="n"/>
      <c r="E41" s="38" t="n"/>
      <c r="F41" s="30" t="n"/>
    </row>
    <row r="42">
      <c r="A42" s="32" t="n"/>
      <c r="B42" s="39">
        <f>0.7*B41</f>
        <v/>
      </c>
      <c r="C42" s="32" t="inlineStr">
        <is>
          <t>g</t>
        </is>
      </c>
      <c r="D42" s="34" t="n"/>
      <c r="E42" s="35">
        <f>IF(D42="",0,B42*D42)</f>
        <v/>
      </c>
      <c r="F42" s="30" t="n"/>
    </row>
    <row r="43">
      <c r="A43" s="32" t="n"/>
      <c r="B43" s="39">
        <f>0.3*B41</f>
        <v/>
      </c>
      <c r="C43" s="32" t="inlineStr">
        <is>
          <t>g</t>
        </is>
      </c>
      <c r="D43" s="34" t="n"/>
      <c r="E43" s="35">
        <f>IF(D43="",0,B43*D43)</f>
        <v/>
      </c>
      <c r="F43" s="30" t="n"/>
    </row>
    <row r="44">
      <c r="A44" s="40" t="n"/>
      <c r="B44" s="33" t="n"/>
      <c r="C44" s="40" t="n"/>
      <c r="D44" s="34" t="n"/>
      <c r="E44" s="35">
        <f>IF(OR(B44="",D44=""),0,B44*D44)</f>
        <v/>
      </c>
      <c r="F44" s="30" t="n"/>
    </row>
    <row r="45">
      <c r="A45" s="40" t="n"/>
      <c r="B45" s="33" t="n"/>
      <c r="C45" s="40" t="n"/>
      <c r="D45" s="34" t="n"/>
      <c r="E45" s="35">
        <f>IF(OR(B45="",D45=""),0,B45*D45)</f>
        <v/>
      </c>
      <c r="F45" s="30" t="n"/>
    </row>
    <row r="46">
      <c r="A46" s="40" t="n"/>
      <c r="B46" s="33" t="n"/>
      <c r="C46" s="40" t="n"/>
      <c r="D46" s="34" t="n"/>
      <c r="E46" s="35">
        <f>IF(OR(B46="",D46=""),0,B46*D46)</f>
        <v/>
      </c>
      <c r="F46" s="30" t="n"/>
    </row>
    <row r="47">
      <c r="A47" s="40" t="n"/>
      <c r="B47" s="33" t="n"/>
      <c r="C47" s="40" t="n"/>
      <c r="D47" s="34" t="n"/>
      <c r="E47" s="35">
        <f>IF(OR(B47="",D47=""),0,B47*D47)</f>
        <v/>
      </c>
      <c r="F47" s="30" t="n"/>
    </row>
    <row r="48">
      <c r="A48" s="40" t="n"/>
      <c r="B48" s="33" t="n"/>
      <c r="C48" s="40" t="n"/>
      <c r="D48" s="34" t="n"/>
      <c r="E48" s="35">
        <f>IF(OR(B48="",D48=""),0,B48*D48)</f>
        <v/>
      </c>
      <c r="F48" s="30" t="n"/>
    </row>
    <row r="49">
      <c r="A49" s="40" t="n"/>
      <c r="B49" s="33" t="n"/>
      <c r="C49" s="40" t="n"/>
      <c r="D49" s="34" t="n"/>
      <c r="E49" s="35">
        <f>IF(OR(B49="",D49=""),0,B49*D49)</f>
        <v/>
      </c>
      <c r="F49" s="30" t="n"/>
    </row>
    <row r="50">
      <c r="A50" s="40" t="n"/>
      <c r="B50" s="33" t="n"/>
      <c r="C50" s="40" t="n"/>
      <c r="D50" s="34" t="n"/>
      <c r="E50" s="35">
        <f>IF(OR(B50="",D50=""),0,B50*D50)</f>
        <v/>
      </c>
      <c r="F50" s="30" t="n"/>
    </row>
    <row r="51">
      <c r="A51" s="40" t="n"/>
      <c r="B51" s="33" t="n"/>
      <c r="C51" s="40" t="n"/>
      <c r="D51" s="34" t="n"/>
      <c r="E51" s="35">
        <f>IF(OR(B51="",D51=""),0,B51*D51)</f>
        <v/>
      </c>
      <c r="F51" s="30" t="n"/>
    </row>
    <row r="52">
      <c r="A52" s="40" t="n"/>
      <c r="B52" s="33" t="n"/>
      <c r="C52" s="40" t="n"/>
      <c r="D52" s="34" t="n"/>
      <c r="E52" s="35">
        <f>IF(OR(B52="",D52=""),0,B52*D52)</f>
        <v/>
      </c>
      <c r="F52" s="30" t="n"/>
    </row>
    <row r="53">
      <c r="A53" s="32" t="inlineStr">
        <is>
          <t>Costo Insumos Específicos (por kg carne)</t>
        </is>
      </c>
      <c r="B53" s="35">
        <f>E35</f>
        <v/>
      </c>
      <c r="C53" s="30" t="n"/>
      <c r="D53" s="30" t="n"/>
      <c r="E53" s="30" t="n"/>
      <c r="F53" s="30" t="n"/>
    </row>
    <row r="54">
      <c r="A54" s="32" t="inlineStr">
        <is>
          <t>Costos Generales por Lote (huevo, sal, etc.)</t>
        </is>
      </c>
      <c r="B54" s="35">
        <f>'Costos Generales'!E4</f>
        <v/>
      </c>
      <c r="C54" s="30" t="n"/>
      <c r="D54" s="30" t="n"/>
      <c r="E54" s="30" t="n"/>
      <c r="F54" s="30" t="n"/>
    </row>
    <row r="55">
      <c r="A55" s="41" t="inlineStr">
        <is>
          <t>Costo Total del Lote (subtotal)</t>
        </is>
      </c>
      <c r="B55" s="42">
        <f>B53+B54</f>
        <v/>
      </c>
      <c r="C55" s="30" t="n"/>
      <c r="D55" s="30" t="n"/>
      <c r="E55" s="30" t="n"/>
      <c r="F55" s="30" t="n"/>
    </row>
    <row r="56">
      <c r="A56" s="32" t="inlineStr">
        <is>
          <t>Peso final del lote rebozado (kg) [Ej: 1.35 a 1.40 kg por kg carne]</t>
        </is>
      </c>
      <c r="B56" s="43" t="n">
        <v>1.35</v>
      </c>
      <c r="C56" s="30" t="n"/>
      <c r="D56" s="30" t="n"/>
      <c r="E56" s="30" t="n"/>
      <c r="F56" s="30" t="n"/>
    </row>
    <row r="57">
      <c r="A57" s="32" t="inlineStr">
        <is>
          <t>Peso por milanesa (g)</t>
        </is>
      </c>
      <c r="B57" s="37" t="n">
        <v>180</v>
      </c>
      <c r="C57" s="30" t="n"/>
      <c r="D57" s="30" t="n"/>
      <c r="E57" s="30" t="n"/>
      <c r="F57" s="30" t="n"/>
    </row>
    <row r="58">
      <c r="A58" s="32" t="inlineStr">
        <is>
          <t>Unidades por lote</t>
        </is>
      </c>
      <c r="B58" s="44">
        <f>IF(OR(B56="",B57="",B57=0),0,(B56*1000)/B57)</f>
        <v/>
      </c>
      <c r="C58" s="30" t="n"/>
      <c r="D58" s="30" t="n"/>
      <c r="E58" s="30" t="n"/>
      <c r="F58" s="30" t="n"/>
    </row>
    <row r="59">
      <c r="A59" s="32" t="inlineStr">
        <is>
          <t>Costo del lote por unidad</t>
        </is>
      </c>
      <c r="B59" s="35">
        <f>IF(B58=0,0,B55/B58)</f>
        <v/>
      </c>
      <c r="C59" s="30" t="n"/>
      <c r="D59" s="30" t="n"/>
      <c r="E59" s="30" t="n"/>
      <c r="F59" s="30" t="n"/>
    </row>
    <row r="60">
      <c r="A60" s="45" t="inlineStr">
        <is>
          <t>COSTO FINAL POR MILANESA</t>
        </is>
      </c>
      <c r="B60" s="46">
        <f>B59/(1-'Costos Generales'!B39)</f>
        <v/>
      </c>
      <c r="C60" s="30" t="n"/>
      <c r="D60" s="30" t="n"/>
      <c r="E60" s="30" t="n"/>
      <c r="F60" s="30" t="n"/>
    </row>
    <row r="61">
      <c r="A61" s="30" t="n"/>
      <c r="B61" s="30" t="n"/>
      <c r="C61" s="30" t="n"/>
      <c r="D61" s="30" t="n"/>
      <c r="E61" s="30" t="n"/>
      <c r="F61" s="30" t="n"/>
    </row>
    <row r="62">
      <c r="A62" s="30" t="n"/>
      <c r="B62" s="30" t="n"/>
      <c r="C62" s="30" t="n"/>
      <c r="D62" s="30" t="n"/>
      <c r="E62" s="30" t="n"/>
      <c r="F62" s="30" t="n"/>
    </row>
    <row r="63" ht="15.75" customHeight="1" s="62">
      <c r="A63" s="61" t="inlineStr">
        <is>
          <t>Suprema Crunch (Pollo)</t>
        </is>
      </c>
    </row>
    <row r="64">
      <c r="A64" s="63" t="inlineStr">
        <is>
          <t>TOTAL INSUMOS ESPECÍFICOS (por kg de carne)</t>
        </is>
      </c>
      <c r="B64" s="59" t="n"/>
      <c r="C64" s="59" t="n"/>
      <c r="D64" s="60" t="n"/>
      <c r="E64" s="29">
        <f>SUM(E66:E81)</f>
        <v/>
      </c>
      <c r="F64" s="30" t="n"/>
    </row>
    <row r="65" ht="30" customHeight="1" s="62">
      <c r="A65" s="31" t="inlineStr">
        <is>
          <t>Insumo</t>
        </is>
      </c>
      <c r="B65" s="31" t="inlineStr">
        <is>
          <t>Cantidad</t>
        </is>
      </c>
      <c r="C65" s="31" t="inlineStr">
        <is>
          <t>Unidad</t>
        </is>
      </c>
      <c r="D65" s="31" t="inlineStr">
        <is>
          <t>Costo unitario</t>
        </is>
      </c>
      <c r="E65" s="31" t="inlineStr">
        <is>
          <t>Costo de la línea</t>
        </is>
      </c>
      <c r="F65" s="30" t="n"/>
    </row>
    <row r="66">
      <c r="A66" s="32" t="inlineStr">
        <is>
          <t>Ajo en polvo</t>
        </is>
      </c>
      <c r="B66" s="33" t="n">
        <v>3</v>
      </c>
      <c r="C66" s="32" t="inlineStr">
        <is>
          <t>g</t>
        </is>
      </c>
      <c r="D66" s="34" t="n">
        <v>12</v>
      </c>
      <c r="E66" s="35">
        <f>IF(OR(B66="",D66=""),0,B66*D66)</f>
        <v/>
      </c>
      <c r="F66" s="30" t="n"/>
    </row>
    <row r="67">
      <c r="A67" s="32" t="inlineStr">
        <is>
          <t>Cebolla en polvo</t>
        </is>
      </c>
      <c r="B67" s="33" t="n">
        <v>2</v>
      </c>
      <c r="C67" s="32" t="inlineStr">
        <is>
          <t>g</t>
        </is>
      </c>
      <c r="D67" s="34" t="n">
        <v>12</v>
      </c>
      <c r="E67" s="35">
        <f>IF(OR(B67="",D67=""),0,B67*D67)</f>
        <v/>
      </c>
      <c r="F67" s="30" t="n"/>
    </row>
    <row r="68">
      <c r="A68" s="32" t="inlineStr">
        <is>
          <t xml:space="preserve">Oregano </t>
        </is>
      </c>
      <c r="B68" s="33" t="n">
        <v>1.5</v>
      </c>
      <c r="C68" s="32" t="inlineStr">
        <is>
          <t>g</t>
        </is>
      </c>
      <c r="D68" s="34" t="n">
        <v>12</v>
      </c>
      <c r="E68" s="35">
        <f>IF(OR(B68="",D68=""),0,B68*D68)</f>
        <v/>
      </c>
      <c r="F68" s="30" t="n"/>
    </row>
    <row r="69">
      <c r="A69" s="32" t="inlineStr">
        <is>
          <t xml:space="preserve">Pimenton dulce </t>
        </is>
      </c>
      <c r="B69" s="33" t="n">
        <v>1</v>
      </c>
      <c r="C69" s="32" t="inlineStr">
        <is>
          <t>g</t>
        </is>
      </c>
      <c r="D69" s="34" t="n">
        <v>12</v>
      </c>
      <c r="E69" s="35">
        <f>IF(OR(B69="",D69=""),0,B69*D69)</f>
        <v/>
      </c>
      <c r="F69" s="30" t="n"/>
    </row>
    <row r="70">
      <c r="A70" s="32" t="inlineStr">
        <is>
          <t>Pimienta negra</t>
        </is>
      </c>
      <c r="B70" s="33" t="n">
        <v>1</v>
      </c>
      <c r="C70" s="32" t="inlineStr">
        <is>
          <t>g</t>
        </is>
      </c>
      <c r="D70" s="34" t="n">
        <v>12</v>
      </c>
      <c r="E70" s="35">
        <f>IF(OR(B70="",D70=""),0,B70*D70)</f>
        <v/>
      </c>
      <c r="F70" s="30" t="n"/>
    </row>
    <row r="71">
      <c r="A71" s="32" t="inlineStr">
        <is>
          <t>Perejil</t>
        </is>
      </c>
      <c r="B71" s="33" t="n">
        <v>1</v>
      </c>
      <c r="C71" s="32" t="inlineStr">
        <is>
          <t>g</t>
        </is>
      </c>
      <c r="D71" s="34" t="n">
        <v>12</v>
      </c>
      <c r="E71" s="35">
        <f>IF(OR(B71="",D71=""),0,B71*D71)</f>
        <v/>
      </c>
      <c r="F71" s="30" t="n"/>
    </row>
    <row r="72">
      <c r="A72" s="36" t="inlineStr">
        <is>
          <t>Pan rayado</t>
        </is>
      </c>
      <c r="B72" s="37" t="n">
        <v>200</v>
      </c>
      <c r="C72" s="32" t="inlineStr">
        <is>
          <t>g</t>
        </is>
      </c>
      <c r="D72" s="38" t="n">
        <v>1.8</v>
      </c>
      <c r="E72" s="38">
        <f>IF(OR(B72="",D72=""),0,B72*D72)</f>
        <v/>
      </c>
      <c r="F72" s="30" t="n"/>
    </row>
    <row r="73">
      <c r="A73" s="32" t="inlineStr">
        <is>
          <t>Cereales</t>
        </is>
      </c>
      <c r="B73" s="39" t="n">
        <v>40</v>
      </c>
      <c r="C73" s="32" t="inlineStr">
        <is>
          <t>g</t>
        </is>
      </c>
      <c r="D73" s="34" t="n">
        <v>4</v>
      </c>
      <c r="E73" s="35">
        <f>IF(OR(B73="",D73=""),0,B73*D73)</f>
        <v/>
      </c>
      <c r="F73" s="30" t="n"/>
    </row>
    <row r="74">
      <c r="A74" s="32" t="inlineStr">
        <is>
          <t>Pechuga</t>
        </is>
      </c>
      <c r="B74" s="39" t="n">
        <v>1000</v>
      </c>
      <c r="C74" s="32" t="inlineStr">
        <is>
          <t>g</t>
        </is>
      </c>
      <c r="D74" s="34" t="n">
        <v>6.5</v>
      </c>
      <c r="E74" s="35">
        <f>IF(OR(B74="",D74=""),0,B74*D74)</f>
        <v/>
      </c>
      <c r="F74" s="30" t="n"/>
    </row>
    <row r="75">
      <c r="A75" s="40" t="n"/>
      <c r="B75" s="33" t="n"/>
      <c r="C75" s="40" t="n"/>
      <c r="D75" s="34" t="n"/>
      <c r="E75" s="35">
        <f>IF(OR(B75="",D75=""),0,B75*D75)</f>
        <v/>
      </c>
      <c r="F75" s="30" t="n"/>
    </row>
    <row r="76">
      <c r="A76" s="40" t="n"/>
      <c r="B76" s="33" t="n"/>
      <c r="C76" s="40" t="n"/>
      <c r="D76" s="34" t="n"/>
      <c r="E76" s="35">
        <f>IF(OR(B76="",D76=""),0,B76*D76)</f>
        <v/>
      </c>
      <c r="F76" s="30" t="n"/>
    </row>
    <row r="77">
      <c r="A77" s="40" t="n"/>
      <c r="B77" s="33" t="n"/>
      <c r="C77" s="40" t="n"/>
      <c r="D77" s="34" t="n"/>
      <c r="E77" s="35">
        <f>IF(OR(B77="",D77=""),0,B77*D77)</f>
        <v/>
      </c>
      <c r="F77" s="30" t="n"/>
    </row>
    <row r="78">
      <c r="A78" s="40" t="n"/>
      <c r="B78" s="33" t="n"/>
      <c r="C78" s="40" t="n"/>
      <c r="D78" s="34" t="n"/>
      <c r="E78" s="35">
        <f>IF(OR(B78="",D78=""),0,B78*D78)</f>
        <v/>
      </c>
      <c r="F78" s="30" t="n"/>
    </row>
    <row r="79">
      <c r="A79" s="40" t="n"/>
      <c r="B79" s="33" t="n"/>
      <c r="C79" s="40" t="n"/>
      <c r="D79" s="34" t="n"/>
      <c r="E79" s="35">
        <f>IF(OR(B79="",D79=""),0,B79*D79)</f>
        <v/>
      </c>
      <c r="F79" s="30" t="n"/>
    </row>
    <row r="80">
      <c r="A80" s="40" t="n"/>
      <c r="B80" s="33" t="n"/>
      <c r="C80" s="40" t="n"/>
      <c r="D80" s="34" t="n"/>
      <c r="E80" s="35">
        <f>IF(OR(B80="",D80=""),0,B80*D80)</f>
        <v/>
      </c>
      <c r="F80" s="30" t="n"/>
    </row>
    <row r="81">
      <c r="A81" s="40" t="n"/>
      <c r="B81" s="33" t="n"/>
      <c r="C81" s="40" t="n"/>
      <c r="D81" s="34" t="n"/>
      <c r="E81" s="35">
        <f>IF(OR(B81="",D81=""),0,B81*D81)</f>
        <v/>
      </c>
      <c r="F81" s="30" t="n"/>
    </row>
    <row r="82">
      <c r="A82" s="32" t="inlineStr">
        <is>
          <t>Costo Insumos Específicos (por kg carne)</t>
        </is>
      </c>
      <c r="B82" s="35">
        <f>E64</f>
        <v/>
      </c>
      <c r="C82" s="30" t="n"/>
      <c r="D82" s="30" t="n"/>
      <c r="E82" s="30" t="n"/>
      <c r="F82" s="30" t="n"/>
    </row>
    <row r="83">
      <c r="A83" s="32" t="inlineStr">
        <is>
          <t>Costos Generales por Lote (huevo, sal, etc.)</t>
        </is>
      </c>
      <c r="B83" s="35">
        <f>'Costos Generales'!E4</f>
        <v/>
      </c>
      <c r="C83" s="30" t="n"/>
      <c r="D83" s="30" t="n"/>
      <c r="E83" s="30" t="n"/>
      <c r="F83" s="30" t="n"/>
    </row>
    <row r="84">
      <c r="A84" s="41" t="inlineStr">
        <is>
          <t>Costo Total del Lote (subtotal)</t>
        </is>
      </c>
      <c r="B84" s="42">
        <f>B82+B83</f>
        <v/>
      </c>
      <c r="C84" s="30" t="n"/>
      <c r="D84" s="30" t="n"/>
      <c r="E84" s="30" t="n"/>
      <c r="F84" s="30" t="n"/>
    </row>
    <row r="85">
      <c r="A85" s="32" t="inlineStr">
        <is>
          <t>Peso final del lote rebozado (kg) [Ej: 1.35 a 1.40 kg por kg carne]</t>
        </is>
      </c>
      <c r="B85" s="43" t="n">
        <v>1.35</v>
      </c>
      <c r="C85" s="30" t="n"/>
      <c r="D85" s="30" t="n"/>
      <c r="E85" s="30" t="n"/>
      <c r="F85" s="30" t="n"/>
    </row>
    <row r="86">
      <c r="A86" s="32" t="inlineStr">
        <is>
          <t>Peso por milanesa (g)</t>
        </is>
      </c>
      <c r="B86" s="37" t="n">
        <v>180</v>
      </c>
      <c r="C86" s="30" t="n"/>
      <c r="D86" s="30" t="n"/>
      <c r="E86" s="30" t="n"/>
      <c r="F86" s="30" t="n"/>
    </row>
    <row r="87">
      <c r="A87" s="32" t="inlineStr">
        <is>
          <t>Unidades por lote</t>
        </is>
      </c>
      <c r="B87" s="44">
        <f>IF(OR(B85="",B86="",B86=0),0,(B85*1000)/B86)</f>
        <v/>
      </c>
      <c r="C87" s="30" t="n"/>
      <c r="D87" s="30" t="n"/>
      <c r="E87" s="30" t="n"/>
      <c r="F87" s="30" t="n"/>
    </row>
    <row r="88">
      <c r="A88" s="32" t="inlineStr">
        <is>
          <t>Costo del lote por unidad</t>
        </is>
      </c>
      <c r="B88" s="35">
        <f>IF(B87=0,0,B84/B87)</f>
        <v/>
      </c>
      <c r="C88" s="30" t="n"/>
      <c r="D88" s="30" t="n"/>
      <c r="E88" s="30" t="n"/>
      <c r="F88" s="30" t="n"/>
    </row>
    <row r="89">
      <c r="A89" s="45" t="inlineStr">
        <is>
          <t>COSTO FINAL POR MILANESA</t>
        </is>
      </c>
      <c r="B89" s="46">
        <f>B88/(1-'Costos Generales'!B39)</f>
        <v/>
      </c>
      <c r="C89" s="30" t="n"/>
      <c r="D89" s="30" t="n"/>
      <c r="E89" s="30" t="n"/>
      <c r="F89" s="30" t="n"/>
    </row>
    <row r="90">
      <c r="A90" s="30" t="n"/>
      <c r="B90" s="30" t="n"/>
      <c r="C90" s="30" t="n"/>
      <c r="D90" s="30" t="n"/>
      <c r="E90" s="30" t="n"/>
      <c r="F90" s="30" t="n"/>
    </row>
    <row r="91">
      <c r="A91" s="30" t="n"/>
      <c r="B91" s="30" t="n"/>
      <c r="C91" s="30" t="n"/>
      <c r="D91" s="30" t="n"/>
      <c r="E91" s="30" t="n"/>
      <c r="F91" s="30" t="n"/>
    </row>
    <row r="92" ht="15.75" customHeight="1" s="62">
      <c r="A92" s="61" t="inlineStr">
        <is>
          <t>Suprema Rellena (Pollo)</t>
        </is>
      </c>
    </row>
    <row r="93">
      <c r="A93" s="63" t="inlineStr">
        <is>
          <t>TOTAL INSUMOS ESPECÍFICOS (por kg de carne)</t>
        </is>
      </c>
      <c r="B93" s="59" t="n"/>
      <c r="C93" s="59" t="n"/>
      <c r="D93" s="60" t="n"/>
      <c r="E93" s="29">
        <f>SUM(E95:E110)</f>
        <v/>
      </c>
      <c r="F93" s="30" t="n"/>
    </row>
    <row r="94" ht="30" customHeight="1" s="62">
      <c r="A94" s="31" t="inlineStr">
        <is>
          <t>Insumo</t>
        </is>
      </c>
      <c r="B94" s="31" t="inlineStr">
        <is>
          <t>Cantidad</t>
        </is>
      </c>
      <c r="C94" s="31" t="inlineStr">
        <is>
          <t>Unidad</t>
        </is>
      </c>
      <c r="D94" s="31" t="inlineStr">
        <is>
          <t>Costo unitario</t>
        </is>
      </c>
      <c r="E94" s="31" t="inlineStr">
        <is>
          <t>Costo de la línea</t>
        </is>
      </c>
      <c r="F94" s="30" t="n"/>
    </row>
    <row r="95">
      <c r="A95" s="32" t="inlineStr">
        <is>
          <t>Oregano</t>
        </is>
      </c>
      <c r="B95" s="33" t="n">
        <v>2</v>
      </c>
      <c r="C95" s="32" t="inlineStr">
        <is>
          <t>g</t>
        </is>
      </c>
      <c r="D95" s="34" t="n">
        <v>12</v>
      </c>
      <c r="E95" s="35">
        <f>IF(OR(B95="",D95=""),0,B95*D95)</f>
        <v/>
      </c>
      <c r="F95" s="30" t="n"/>
    </row>
    <row r="96">
      <c r="A96" s="36" t="inlineStr">
        <is>
          <t>Pechuga</t>
        </is>
      </c>
      <c r="B96" s="37" t="n">
        <v>1000</v>
      </c>
      <c r="C96" s="32" t="inlineStr">
        <is>
          <t>g</t>
        </is>
      </c>
      <c r="D96" s="38" t="n">
        <v>6.5</v>
      </c>
      <c r="E96" s="38">
        <f>IF(OR(B96="",D96=""),0,B96*D96)</f>
        <v/>
      </c>
      <c r="F96" s="30" t="n"/>
    </row>
    <row r="97">
      <c r="A97" s="32" t="inlineStr">
        <is>
          <t>Pan rayado</t>
        </is>
      </c>
      <c r="B97" s="39" t="n">
        <v>200</v>
      </c>
      <c r="C97" s="32" t="inlineStr">
        <is>
          <t>g</t>
        </is>
      </c>
      <c r="D97" s="34" t="n">
        <v>1.8</v>
      </c>
      <c r="E97" s="35">
        <f>IF(OR(B97="",D97=""),0,B97*D97)</f>
        <v/>
      </c>
      <c r="F97" s="30" t="n"/>
    </row>
    <row r="98">
      <c r="A98" s="36" t="inlineStr">
        <is>
          <t>Rebozador</t>
        </is>
      </c>
      <c r="B98" s="37" t="n">
        <v>50</v>
      </c>
      <c r="C98" s="32" t="inlineStr">
        <is>
          <t>g</t>
        </is>
      </c>
      <c r="D98" s="38" t="n">
        <v>2.5</v>
      </c>
      <c r="E98" s="38">
        <f>IF(OR(B98="",D98=""),0,B98*D98)</f>
        <v/>
      </c>
      <c r="F98" s="30" t="n"/>
    </row>
    <row r="99">
      <c r="A99" s="32" t="inlineStr">
        <is>
          <t xml:space="preserve">Jamon </t>
        </is>
      </c>
      <c r="B99" s="39" t="n">
        <v>5</v>
      </c>
      <c r="C99" s="32" t="inlineStr">
        <is>
          <t>g</t>
        </is>
      </c>
      <c r="D99" s="34" t="n">
        <v>12</v>
      </c>
      <c r="E99" s="35">
        <f>IF(OR(B99="",D99=""),0,B99*D99)</f>
        <v/>
      </c>
      <c r="F99" s="30" t="n"/>
    </row>
    <row r="100">
      <c r="A100" s="32" t="inlineStr">
        <is>
          <t>Queso</t>
        </is>
      </c>
      <c r="B100" s="39" t="n">
        <v>5</v>
      </c>
      <c r="C100" s="32" t="inlineStr">
        <is>
          <t>g</t>
        </is>
      </c>
      <c r="D100" s="34" t="n">
        <v>9</v>
      </c>
      <c r="E100" s="35">
        <f>IF(OR(B100="",D100=""),0,B100*D100)</f>
        <v/>
      </c>
      <c r="F100" s="30" t="n"/>
    </row>
    <row r="101">
      <c r="A101" s="40" t="n"/>
      <c r="B101" s="33" t="n"/>
      <c r="C101" s="40" t="n"/>
      <c r="D101" s="34" t="n"/>
      <c r="E101" s="35">
        <f>IF(OR(B101="",D101=""),0,B101*D101)</f>
        <v/>
      </c>
      <c r="F101" s="30" t="n"/>
    </row>
    <row r="102">
      <c r="A102" s="40" t="n"/>
      <c r="B102" s="33" t="n"/>
      <c r="C102" s="40" t="n"/>
      <c r="D102" s="34" t="n"/>
      <c r="E102" s="35">
        <f>IF(OR(B102="",D102=""),0,B102*D102)</f>
        <v/>
      </c>
      <c r="F102" s="30" t="n"/>
    </row>
    <row r="103">
      <c r="A103" s="40" t="n"/>
      <c r="B103" s="33" t="n"/>
      <c r="C103" s="40" t="n"/>
      <c r="D103" s="34" t="n"/>
      <c r="E103" s="35">
        <f>IF(OR(B103="",D103=""),0,B103*D103)</f>
        <v/>
      </c>
      <c r="F103" s="30" t="n"/>
    </row>
    <row r="104">
      <c r="A104" s="40" t="n"/>
      <c r="B104" s="33" t="n"/>
      <c r="C104" s="40" t="n"/>
      <c r="D104" s="34" t="n"/>
      <c r="E104" s="35">
        <f>IF(OR(B104="",D104=""),0,B104*D104)</f>
        <v/>
      </c>
      <c r="F104" s="30" t="n"/>
    </row>
    <row r="105">
      <c r="A105" s="40" t="n"/>
      <c r="B105" s="33" t="n"/>
      <c r="C105" s="40" t="n"/>
      <c r="D105" s="34" t="n"/>
      <c r="E105" s="35">
        <f>IF(OR(B105="",D105=""),0,B105*D105)</f>
        <v/>
      </c>
      <c r="F105" s="30" t="n"/>
    </row>
    <row r="106">
      <c r="A106" s="40" t="n"/>
      <c r="B106" s="33" t="n"/>
      <c r="C106" s="40" t="n"/>
      <c r="D106" s="34" t="n"/>
      <c r="E106" s="35">
        <f>IF(OR(B106="",D106=""),0,B106*D106)</f>
        <v/>
      </c>
      <c r="F106" s="30" t="n"/>
    </row>
    <row r="107">
      <c r="A107" s="40" t="n"/>
      <c r="B107" s="33" t="n"/>
      <c r="C107" s="40" t="n"/>
      <c r="D107" s="34" t="n"/>
      <c r="E107" s="35">
        <f>IF(OR(B107="",D107=""),0,B107*D107)</f>
        <v/>
      </c>
      <c r="F107" s="30" t="n"/>
    </row>
    <row r="108">
      <c r="A108" s="40" t="n"/>
      <c r="B108" s="33" t="n"/>
      <c r="C108" s="40" t="n"/>
      <c r="D108" s="34" t="n"/>
      <c r="E108" s="35">
        <f>IF(OR(B108="",D108=""),0,B108*D108)</f>
        <v/>
      </c>
      <c r="F108" s="30" t="n"/>
    </row>
    <row r="109">
      <c r="A109" s="40" t="n"/>
      <c r="B109" s="33" t="n"/>
      <c r="C109" s="40" t="n"/>
      <c r="D109" s="34" t="n"/>
      <c r="E109" s="35">
        <f>IF(OR(B109="",D109=""),0,B109*D109)</f>
        <v/>
      </c>
      <c r="F109" s="30" t="n"/>
    </row>
    <row r="110">
      <c r="A110" s="40" t="n"/>
      <c r="B110" s="33" t="n"/>
      <c r="C110" s="40" t="n"/>
      <c r="D110" s="34" t="n"/>
      <c r="E110" s="35">
        <f>IF(OR(B110="",D110=""),0,B110*D110)</f>
        <v/>
      </c>
      <c r="F110" s="30" t="n"/>
    </row>
    <row r="111">
      <c r="A111" s="32" t="inlineStr">
        <is>
          <t>Costo Insumos Específicos (por kg carne)</t>
        </is>
      </c>
      <c r="B111" s="35">
        <f>E93</f>
        <v/>
      </c>
      <c r="C111" s="30" t="n"/>
      <c r="D111" s="30" t="n"/>
      <c r="E111" s="30" t="n"/>
      <c r="F111" s="30" t="n"/>
    </row>
    <row r="112">
      <c r="A112" s="32" t="inlineStr">
        <is>
          <t>Costos Generales por Lote (huevo, sal, etc.)</t>
        </is>
      </c>
      <c r="B112" s="35">
        <f>'Costos Generales'!E4</f>
        <v/>
      </c>
      <c r="C112" s="30" t="n"/>
      <c r="D112" s="30" t="n"/>
      <c r="E112" s="30" t="n"/>
      <c r="F112" s="30" t="n"/>
    </row>
    <row r="113">
      <c r="A113" s="41" t="inlineStr">
        <is>
          <t>Costo Total del Lote (subtotal)</t>
        </is>
      </c>
      <c r="B113" s="42">
        <f>B111+B112</f>
        <v/>
      </c>
      <c r="C113" s="30" t="n"/>
      <c r="D113" s="30" t="n"/>
      <c r="E113" s="30" t="n"/>
      <c r="F113" s="30" t="n"/>
    </row>
    <row r="114">
      <c r="A114" s="32" t="inlineStr">
        <is>
          <t>Peso final del lote rebozado (kg) [Ej: 1.35 a 1.40 kg por kg carne]</t>
        </is>
      </c>
      <c r="B114" s="43" t="n">
        <v>1.35</v>
      </c>
      <c r="C114" s="30" t="n"/>
      <c r="D114" s="30" t="n"/>
      <c r="E114" s="30" t="n"/>
      <c r="F114" s="30" t="n"/>
    </row>
    <row r="115">
      <c r="A115" s="32" t="inlineStr">
        <is>
          <t>Peso por milanesa (g)</t>
        </is>
      </c>
      <c r="B115" s="37" t="n">
        <v>220</v>
      </c>
      <c r="C115" s="30" t="n"/>
      <c r="D115" s="30" t="n"/>
      <c r="E115" s="30" t="n"/>
      <c r="F115" s="30" t="n"/>
    </row>
    <row r="116">
      <c r="A116" s="32" t="inlineStr">
        <is>
          <t>Unidades por lote</t>
        </is>
      </c>
      <c r="B116" s="44">
        <f>IF(OR(B114="",B115="",B115=0),0,(B114*1000)/B115)</f>
        <v/>
      </c>
      <c r="C116" s="30" t="n"/>
      <c r="D116" s="30" t="n"/>
      <c r="E116" s="30" t="n"/>
      <c r="F116" s="30" t="n"/>
    </row>
    <row r="117">
      <c r="A117" s="32" t="inlineStr">
        <is>
          <t>Costo del lote por unidad</t>
        </is>
      </c>
      <c r="B117" s="35">
        <f>IF(B116=0,0,B113/B116)</f>
        <v/>
      </c>
      <c r="C117" s="30" t="n"/>
      <c r="D117" s="30" t="n"/>
      <c r="E117" s="30" t="n"/>
      <c r="F117" s="30" t="n"/>
    </row>
    <row r="118">
      <c r="A118" s="45" t="inlineStr">
        <is>
          <t>COSTO FINAL POR MILANESA</t>
        </is>
      </c>
      <c r="B118" s="46">
        <f>B117/(1-'Costos Generales'!B39)</f>
        <v/>
      </c>
      <c r="C118" s="30" t="n"/>
      <c r="D118" s="30" t="n"/>
      <c r="E118" s="30" t="n"/>
      <c r="F118" s="30" t="n"/>
    </row>
    <row r="119">
      <c r="A119" s="30" t="n"/>
      <c r="B119" s="30" t="n"/>
      <c r="C119" s="30" t="n"/>
      <c r="D119" s="30" t="n"/>
      <c r="E119" s="30" t="n"/>
      <c r="F119" s="30" t="n"/>
    </row>
    <row r="120">
      <c r="A120" s="30" t="n"/>
      <c r="B120" s="30" t="n"/>
      <c r="C120" s="30" t="n"/>
      <c r="D120" s="30" t="n"/>
      <c r="E120" s="30" t="n"/>
      <c r="F120" s="30" t="n"/>
    </row>
    <row r="121" ht="15.75" customHeight="1" s="62">
      <c r="A121" s="61" t="inlineStr">
        <is>
          <t>Suprema Finas Hierbas (Pollo)</t>
        </is>
      </c>
    </row>
    <row r="122">
      <c r="A122" s="63" t="inlineStr">
        <is>
          <t>TOTAL INSUMOS ESPECÍFICOS (por kg de carne)</t>
        </is>
      </c>
      <c r="B122" s="59" t="n"/>
      <c r="C122" s="59" t="n"/>
      <c r="D122" s="60" t="n"/>
      <c r="E122" s="29">
        <f>SUM(E124:E139)</f>
        <v/>
      </c>
      <c r="F122" s="30" t="n"/>
    </row>
    <row r="123" ht="30" customHeight="1" s="62">
      <c r="A123" s="31" t="inlineStr">
        <is>
          <t>Insumo</t>
        </is>
      </c>
      <c r="B123" s="31" t="inlineStr">
        <is>
          <t>Cantidad</t>
        </is>
      </c>
      <c r="C123" s="31" t="inlineStr">
        <is>
          <t>Unidad</t>
        </is>
      </c>
      <c r="D123" s="31" t="inlineStr">
        <is>
          <t>Costo unitario</t>
        </is>
      </c>
      <c r="E123" s="31" t="inlineStr">
        <is>
          <t>Costo de la línea</t>
        </is>
      </c>
      <c r="F123" s="30" t="n"/>
    </row>
    <row r="124">
      <c r="A124" s="32" t="inlineStr">
        <is>
          <t xml:space="preserve">Oliva </t>
        </is>
      </c>
      <c r="B124" s="33" t="n">
        <v>2</v>
      </c>
      <c r="C124" s="32" t="inlineStr">
        <is>
          <t>cucharadas</t>
        </is>
      </c>
      <c r="D124" s="34" t="n">
        <v>135</v>
      </c>
      <c r="E124" s="35">
        <f>IF(OR(B124="",D124=""),0,B124*D124)</f>
        <v/>
      </c>
      <c r="F124" s="30" t="n"/>
    </row>
    <row r="125">
      <c r="A125" s="32" t="inlineStr">
        <is>
          <t>Oregano</t>
        </is>
      </c>
      <c r="B125" s="33" t="n">
        <v>1</v>
      </c>
      <c r="C125" s="32" t="inlineStr">
        <is>
          <t>g</t>
        </is>
      </c>
      <c r="D125" s="34" t="n">
        <v>12</v>
      </c>
      <c r="E125" s="35">
        <f>IF(OR(B125="",D125=""),0,B125*D125)</f>
        <v/>
      </c>
      <c r="F125" s="30" t="n"/>
    </row>
    <row r="126">
      <c r="A126" s="32" t="inlineStr">
        <is>
          <t>Tomillo</t>
        </is>
      </c>
      <c r="B126" s="33" t="n">
        <v>1</v>
      </c>
      <c r="C126" s="32" t="inlineStr">
        <is>
          <t>g</t>
        </is>
      </c>
      <c r="D126" s="34" t="n">
        <v>12</v>
      </c>
      <c r="E126" s="35">
        <f>IF(OR(B126="",D126=""),0,B126*D126)</f>
        <v/>
      </c>
      <c r="F126" s="30" t="n"/>
    </row>
    <row r="127">
      <c r="A127" s="32" t="inlineStr">
        <is>
          <t>Romero</t>
        </is>
      </c>
      <c r="B127" s="33" t="n">
        <v>1</v>
      </c>
      <c r="C127" s="32" t="inlineStr">
        <is>
          <t>g</t>
        </is>
      </c>
      <c r="D127" s="34" t="n">
        <v>12</v>
      </c>
      <c r="E127" s="35">
        <f>IF(OR(B127="",D127=""),0,B127*D127)</f>
        <v/>
      </c>
      <c r="F127" s="30" t="n"/>
    </row>
    <row r="128">
      <c r="A128" s="32" t="inlineStr">
        <is>
          <t>Provenzal</t>
        </is>
      </c>
      <c r="B128" s="33" t="n">
        <v>1</v>
      </c>
      <c r="C128" s="32" t="inlineStr">
        <is>
          <t>g</t>
        </is>
      </c>
      <c r="D128" s="34" t="n">
        <v>12</v>
      </c>
      <c r="E128" s="35">
        <f>IF(OR(B128="",D128=""),0,B128*D128)</f>
        <v/>
      </c>
      <c r="F128" s="30" t="n"/>
    </row>
    <row r="129">
      <c r="A129" s="32" t="inlineStr">
        <is>
          <t>Laurel</t>
        </is>
      </c>
      <c r="B129" s="33" t="n">
        <v>1</v>
      </c>
      <c r="C129" s="32" t="inlineStr">
        <is>
          <t>g</t>
        </is>
      </c>
      <c r="D129" s="34" t="n">
        <v>12</v>
      </c>
      <c r="E129" s="35">
        <f>IF(OR(B129="",D129=""),0,B129*D129)</f>
        <v/>
      </c>
      <c r="F129" s="30" t="n"/>
    </row>
    <row r="130">
      <c r="A130" s="32" t="inlineStr">
        <is>
          <t>Pimenton</t>
        </is>
      </c>
      <c r="B130" s="33" t="n">
        <v>1</v>
      </c>
      <c r="C130" s="32" t="inlineStr">
        <is>
          <t>g</t>
        </is>
      </c>
      <c r="D130" s="34" t="n">
        <v>12</v>
      </c>
      <c r="E130" s="35">
        <f>IF(OR(B130="",D130=""),0,B130*D130)</f>
        <v/>
      </c>
      <c r="F130" s="30" t="n"/>
    </row>
    <row r="131">
      <c r="A131" s="36" t="inlineStr">
        <is>
          <t>Pimienta</t>
        </is>
      </c>
      <c r="B131" s="37" t="n">
        <v>1</v>
      </c>
      <c r="C131" s="32" t="inlineStr">
        <is>
          <t>g</t>
        </is>
      </c>
      <c r="D131" s="38" t="n">
        <v>12</v>
      </c>
      <c r="E131" s="38">
        <f>IF(OR(B131="",D131=""),0,B131*D131)</f>
        <v/>
      </c>
      <c r="F131" s="30" t="n"/>
    </row>
    <row r="132">
      <c r="A132" s="32" t="inlineStr">
        <is>
          <t>Pechuga de pollo</t>
        </is>
      </c>
      <c r="B132" s="39" t="n">
        <v>1000</v>
      </c>
      <c r="C132" s="32" t="inlineStr">
        <is>
          <t>g</t>
        </is>
      </c>
      <c r="D132" s="34" t="n">
        <v>6.5</v>
      </c>
      <c r="E132" s="35">
        <f>IF(OR(B132="",D132=""),0,B132*D132)</f>
        <v/>
      </c>
      <c r="F132" s="30" t="n"/>
    </row>
    <row r="133">
      <c r="A133" s="40" t="inlineStr">
        <is>
          <t>Pan rayado</t>
        </is>
      </c>
      <c r="B133" s="33" t="n">
        <v>200</v>
      </c>
      <c r="C133" s="40" t="inlineStr">
        <is>
          <t>g</t>
        </is>
      </c>
      <c r="D133" s="34" t="n">
        <v>1.8</v>
      </c>
      <c r="E133" s="35">
        <f>IF(OR(B133="",D133=""),0,B133*D133)</f>
        <v/>
      </c>
      <c r="F133" s="30" t="n"/>
    </row>
    <row r="134">
      <c r="A134" s="40" t="inlineStr">
        <is>
          <t>Rebozdor</t>
        </is>
      </c>
      <c r="B134" s="33" t="n">
        <v>5</v>
      </c>
      <c r="C134" s="40" t="inlineStr">
        <is>
          <t>g</t>
        </is>
      </c>
      <c r="D134" s="34" t="n">
        <v>2.5</v>
      </c>
      <c r="E134" s="35">
        <f>IF(OR(B134="",D134=""),0,B134*D134)</f>
        <v/>
      </c>
      <c r="F134" s="30" t="n"/>
    </row>
    <row r="135">
      <c r="A135" s="40" t="n"/>
      <c r="B135" s="33" t="n"/>
      <c r="C135" s="40" t="n"/>
      <c r="D135" s="34" t="n"/>
      <c r="E135" s="35">
        <f>IF(OR(B135="",D135=""),0,B135*D135)</f>
        <v/>
      </c>
      <c r="F135" s="30" t="n"/>
    </row>
    <row r="136">
      <c r="A136" s="40" t="n"/>
      <c r="B136" s="33" t="n"/>
      <c r="C136" s="40" t="n"/>
      <c r="D136" s="34" t="n"/>
      <c r="E136" s="35">
        <f>IF(OR(B136="",D136=""),0,B136*D136)</f>
        <v/>
      </c>
      <c r="F136" s="30" t="n"/>
    </row>
    <row r="137">
      <c r="A137" s="40" t="n"/>
      <c r="B137" s="33" t="n"/>
      <c r="C137" s="40" t="n"/>
      <c r="D137" s="34" t="n"/>
      <c r="E137" s="35">
        <f>IF(OR(B137="",D137=""),0,B137*D137)</f>
        <v/>
      </c>
      <c r="F137" s="30" t="n"/>
    </row>
    <row r="138">
      <c r="A138" s="40" t="n"/>
      <c r="B138" s="33" t="n"/>
      <c r="C138" s="40" t="n"/>
      <c r="D138" s="34" t="n"/>
      <c r="E138" s="35">
        <f>IF(OR(B138="",D138=""),0,B138*D138)</f>
        <v/>
      </c>
      <c r="F138" s="30" t="n"/>
    </row>
    <row r="139">
      <c r="A139" s="40" t="n"/>
      <c r="B139" s="33" t="n"/>
      <c r="C139" s="40" t="n"/>
      <c r="D139" s="34" t="n"/>
      <c r="E139" s="35">
        <f>IF(OR(B139="",D139=""),0,B139*D139)</f>
        <v/>
      </c>
      <c r="F139" s="30" t="n"/>
    </row>
    <row r="140">
      <c r="A140" s="32" t="inlineStr">
        <is>
          <t>Costo Insumos Específicos (por kg carne)</t>
        </is>
      </c>
      <c r="B140" s="35">
        <f>E122</f>
        <v/>
      </c>
      <c r="C140" s="30" t="n"/>
      <c r="D140" s="30" t="n"/>
      <c r="E140" s="30" t="n"/>
      <c r="F140" s="30" t="n"/>
    </row>
    <row r="141">
      <c r="A141" s="32" t="inlineStr">
        <is>
          <t>Costos Generales por Lote (huevo, sal, etc.)</t>
        </is>
      </c>
      <c r="B141" s="35">
        <f>'Costos Generales'!E4</f>
        <v/>
      </c>
      <c r="C141" s="30" t="n"/>
      <c r="D141" s="30" t="n"/>
      <c r="E141" s="30" t="n"/>
      <c r="F141" s="30" t="n"/>
    </row>
    <row r="142">
      <c r="A142" s="41" t="inlineStr">
        <is>
          <t>Costo Total del Lote (subtotal)</t>
        </is>
      </c>
      <c r="B142" s="42">
        <f>B140+B141</f>
        <v/>
      </c>
      <c r="C142" s="30" t="n"/>
      <c r="D142" s="30" t="n"/>
      <c r="E142" s="30" t="n"/>
      <c r="F142" s="30" t="n"/>
    </row>
    <row r="143">
      <c r="A143" s="32" t="inlineStr">
        <is>
          <t>Peso final del lote rebozado (kg) [Ej: 1.35 a 1.40 kg por kg carne]</t>
        </is>
      </c>
      <c r="B143" s="43" t="n">
        <v>1.35</v>
      </c>
      <c r="C143" s="30" t="n"/>
      <c r="D143" s="30" t="n"/>
      <c r="E143" s="30" t="n"/>
      <c r="F143" s="30" t="n"/>
    </row>
    <row r="144">
      <c r="A144" s="32" t="inlineStr">
        <is>
          <t>Peso por milanesa (g)</t>
        </is>
      </c>
      <c r="B144" s="37" t="n">
        <v>180</v>
      </c>
      <c r="C144" s="30" t="n"/>
      <c r="D144" s="30" t="n"/>
      <c r="E144" s="30" t="n"/>
      <c r="F144" s="30" t="n"/>
    </row>
    <row r="145">
      <c r="A145" s="32" t="inlineStr">
        <is>
          <t>Unidades por lote</t>
        </is>
      </c>
      <c r="B145" s="44">
        <f>IF(OR(B143="",B144="",B144=0),0,(B143*1000)/B144)</f>
        <v/>
      </c>
      <c r="C145" s="30" t="n"/>
      <c r="D145" s="30" t="n"/>
      <c r="E145" s="30" t="n"/>
      <c r="F145" s="30" t="n"/>
    </row>
    <row r="146">
      <c r="A146" s="32" t="inlineStr">
        <is>
          <t>Costo del lote por unidad</t>
        </is>
      </c>
      <c r="B146" s="35">
        <f>IF(B145=0,0,B142/B145)</f>
        <v/>
      </c>
      <c r="C146" s="30" t="n"/>
      <c r="D146" s="30" t="n"/>
      <c r="E146" s="30" t="n"/>
      <c r="F146" s="30" t="n"/>
    </row>
    <row r="147">
      <c r="A147" s="45" t="inlineStr">
        <is>
          <t>COSTO FINAL POR MILANESA</t>
        </is>
      </c>
      <c r="B147" s="46">
        <f>B146/(1-'Costos Generales'!B39)</f>
        <v/>
      </c>
      <c r="C147" s="30" t="n"/>
      <c r="D147" s="30" t="n"/>
      <c r="E147" s="30" t="n"/>
      <c r="F147" s="30" t="n"/>
    </row>
    <row r="148">
      <c r="A148" s="30" t="n"/>
      <c r="B148" s="30" t="n"/>
      <c r="C148" s="30" t="n"/>
      <c r="D148" s="30" t="n"/>
      <c r="E148" s="30" t="n"/>
      <c r="F148" s="30" t="n"/>
    </row>
    <row r="149">
      <c r="A149" s="30" t="n"/>
      <c r="B149" s="30" t="n"/>
      <c r="C149" s="30" t="n"/>
      <c r="D149" s="30" t="n"/>
      <c r="E149" s="30" t="n"/>
      <c r="F149" s="30" t="n"/>
    </row>
  </sheetData>
  <mergeCells count="12">
    <mergeCell ref="A63:F63"/>
    <mergeCell ref="A121:F121"/>
    <mergeCell ref="A122:D122"/>
    <mergeCell ref="A6:D6"/>
    <mergeCell ref="A3:F3"/>
    <mergeCell ref="A35:D35"/>
    <mergeCell ref="A1:F1"/>
    <mergeCell ref="A5:F5"/>
    <mergeCell ref="A64:D64"/>
    <mergeCell ref="A34:F34"/>
    <mergeCell ref="A92:F92"/>
    <mergeCell ref="A93:D9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tabSelected="1" topLeftCell="A16" workbookViewId="0">
      <selection activeCell="A45" sqref="A45"/>
    </sheetView>
  </sheetViews>
  <sheetFormatPr baseColWidth="10" defaultColWidth="9.140625" defaultRowHeight="15"/>
  <cols>
    <col width="42" customWidth="1" style="62" min="1" max="1"/>
    <col width="16" customWidth="1" style="62" min="2" max="2"/>
    <col width="13" customWidth="1" style="62" min="3" max="4"/>
    <col width="18" customWidth="1" style="62" min="5" max="5"/>
    <col width="13" customWidth="1" style="62" min="6" max="6"/>
  </cols>
  <sheetData>
    <row r="1" ht="18" customHeight="1" s="62">
      <c r="A1" s="64" t="inlineStr">
        <is>
          <t>Recetas — Vaca</t>
        </is>
      </c>
    </row>
    <row r="2"/>
    <row r="3">
      <c r="A3" s="65" t="inlineStr">
        <is>
          <t>Todas las cantidades de cada receta están pensadas para procesar 1 kg de carne cruda.</t>
        </is>
      </c>
    </row>
    <row r="4"/>
    <row r="5" ht="15.75" customHeight="1" s="62">
      <c r="A5" s="61" t="inlineStr">
        <is>
          <t xml:space="preserve">Vacuno Tradicional </t>
        </is>
      </c>
    </row>
    <row r="6">
      <c r="A6" s="63" t="inlineStr">
        <is>
          <t>TOTAL INSUMOS ESPECÍFICOS (por kg de carne)</t>
        </is>
      </c>
      <c r="B6" s="59" t="n"/>
      <c r="C6" s="59" t="n"/>
      <c r="D6" s="60" t="n"/>
      <c r="E6" s="29">
        <f>SUM(E8:E23)</f>
        <v/>
      </c>
      <c r="F6" s="30" t="n"/>
    </row>
    <row r="7" ht="30" customHeight="1" s="62">
      <c r="A7" s="31" t="inlineStr">
        <is>
          <t>Insumo</t>
        </is>
      </c>
      <c r="B7" s="31" t="inlineStr">
        <is>
          <t>Cantidad</t>
        </is>
      </c>
      <c r="C7" s="31" t="inlineStr">
        <is>
          <t>Unidad</t>
        </is>
      </c>
      <c r="D7" s="31" t="inlineStr">
        <is>
          <t>Costo unitario</t>
        </is>
      </c>
      <c r="E7" s="31" t="inlineStr">
        <is>
          <t>Costo de la línea</t>
        </is>
      </c>
      <c r="F7" s="30" t="n"/>
    </row>
    <row r="8">
      <c r="A8" s="32" t="inlineStr">
        <is>
          <t>Carne de vaca</t>
        </is>
      </c>
      <c r="B8" s="33" t="n">
        <v>1000</v>
      </c>
      <c r="C8" s="32" t="inlineStr">
        <is>
          <t>g</t>
        </is>
      </c>
      <c r="D8" s="34" t="n">
        <v>17</v>
      </c>
      <c r="E8" s="35">
        <f>IF(OR(B8="",D8=""),0,B8*D8)</f>
        <v/>
      </c>
      <c r="F8" s="30" t="n"/>
    </row>
    <row r="9">
      <c r="A9" s="32" t="inlineStr">
        <is>
          <t>Pan rayado</t>
        </is>
      </c>
      <c r="B9" s="33" t="n">
        <v>200</v>
      </c>
      <c r="C9" s="32" t="inlineStr">
        <is>
          <t>g</t>
        </is>
      </c>
      <c r="D9" s="34" t="n">
        <v>1.8</v>
      </c>
      <c r="E9" s="35">
        <f>IF(OR(B9="",D9=""),0,B9*D9)</f>
        <v/>
      </c>
      <c r="F9" s="30" t="n"/>
    </row>
    <row r="10">
      <c r="A10" s="36" t="inlineStr">
        <is>
          <t>Rebozador</t>
        </is>
      </c>
      <c r="B10" s="37" t="n">
        <v>50</v>
      </c>
      <c r="C10" s="32" t="inlineStr">
        <is>
          <t>g</t>
        </is>
      </c>
      <c r="D10" s="38" t="n">
        <v>2.5</v>
      </c>
      <c r="E10" s="38">
        <f>IF(OR(B10="",D10=""),0,B10*D10)</f>
        <v/>
      </c>
      <c r="F10" s="30" t="n"/>
    </row>
    <row r="11">
      <c r="A11" s="32" t="inlineStr">
        <is>
          <t>Oregano</t>
        </is>
      </c>
      <c r="B11" s="39" t="n">
        <v>2</v>
      </c>
      <c r="C11" s="32" t="inlineStr">
        <is>
          <t>g</t>
        </is>
      </c>
      <c r="D11" s="34" t="n">
        <v>12</v>
      </c>
      <c r="E11" s="35">
        <f>IF(OR(B11="",D11=""),0,B11*D11)</f>
        <v/>
      </c>
      <c r="F11" s="30" t="n"/>
    </row>
    <row r="12">
      <c r="A12" s="40" t="n"/>
      <c r="B12" s="33" t="n"/>
      <c r="C12" s="40" t="n"/>
      <c r="D12" s="34" t="n"/>
      <c r="E12" s="35">
        <f>IF(OR(B12="",D12=""),0,B12*D12)</f>
        <v/>
      </c>
      <c r="F12" s="30" t="n"/>
    </row>
    <row r="13">
      <c r="A13" s="40" t="n"/>
      <c r="B13" s="33" t="n"/>
      <c r="C13" s="40" t="n"/>
      <c r="D13" s="34" t="n"/>
      <c r="E13" s="35">
        <f>IF(OR(B13="",D13=""),0,B13*D13)</f>
        <v/>
      </c>
      <c r="F13" s="30" t="n"/>
    </row>
    <row r="14">
      <c r="A14" s="40" t="n"/>
      <c r="B14" s="33" t="n"/>
      <c r="C14" s="40" t="n"/>
      <c r="D14" s="34" t="n"/>
      <c r="E14" s="35">
        <f>IF(OR(B14="",D14=""),0,B14*D14)</f>
        <v/>
      </c>
      <c r="F14" s="30" t="n"/>
    </row>
    <row r="15">
      <c r="A15" s="40" t="n"/>
      <c r="B15" s="33" t="n"/>
      <c r="C15" s="40" t="n"/>
      <c r="D15" s="34" t="n"/>
      <c r="E15" s="35">
        <f>IF(OR(B15="",D15=""),0,B15*D15)</f>
        <v/>
      </c>
      <c r="F15" s="30" t="n"/>
    </row>
    <row r="16">
      <c r="A16" s="40" t="n"/>
      <c r="B16" s="33" t="n"/>
      <c r="C16" s="40" t="n"/>
      <c r="D16" s="34" t="n"/>
      <c r="E16" s="35">
        <f>IF(OR(B16="",D16=""),0,B16*D16)</f>
        <v/>
      </c>
      <c r="F16" s="30" t="n"/>
    </row>
    <row r="17">
      <c r="A17" s="40" t="n"/>
      <c r="B17" s="33" t="n"/>
      <c r="C17" s="40" t="n"/>
      <c r="D17" s="34" t="n"/>
      <c r="E17" s="35">
        <f>IF(OR(B17="",D17=""),0,B17*D17)</f>
        <v/>
      </c>
      <c r="F17" s="30" t="n"/>
    </row>
    <row r="18">
      <c r="A18" s="40" t="n"/>
      <c r="B18" s="33" t="n"/>
      <c r="C18" s="40" t="n"/>
      <c r="D18" s="34" t="n"/>
      <c r="E18" s="35">
        <f>IF(OR(B18="",D18=""),0,B18*D18)</f>
        <v/>
      </c>
      <c r="F18" s="30" t="n"/>
    </row>
    <row r="19">
      <c r="A19" s="40" t="n"/>
      <c r="B19" s="33" t="n"/>
      <c r="C19" s="40" t="n"/>
      <c r="D19" s="34" t="n"/>
      <c r="E19" s="35">
        <f>IF(OR(B19="",D19=""),0,B19*D19)</f>
        <v/>
      </c>
      <c r="F19" s="30" t="n"/>
    </row>
    <row r="20">
      <c r="A20" s="40" t="n"/>
      <c r="B20" s="33" t="n"/>
      <c r="C20" s="40" t="n"/>
      <c r="D20" s="34" t="n"/>
      <c r="E20" s="35">
        <f>IF(OR(B20="",D20=""),0,B20*D20)</f>
        <v/>
      </c>
      <c r="F20" s="30" t="n"/>
    </row>
    <row r="21">
      <c r="A21" s="40" t="n"/>
      <c r="B21" s="33" t="n"/>
      <c r="C21" s="40" t="n"/>
      <c r="D21" s="34" t="n"/>
      <c r="E21" s="35">
        <f>IF(OR(B21="",D21=""),0,B21*D21)</f>
        <v/>
      </c>
      <c r="F21" s="30" t="n"/>
    </row>
    <row r="22">
      <c r="A22" s="40" t="n"/>
      <c r="B22" s="33" t="n"/>
      <c r="C22" s="40" t="n"/>
      <c r="D22" s="34" t="n"/>
      <c r="E22" s="35">
        <f>IF(OR(B22="",D22=""),0,B22*D22)</f>
        <v/>
      </c>
      <c r="F22" s="30" t="n"/>
    </row>
    <row r="23">
      <c r="A23" s="40" t="n"/>
      <c r="B23" s="33" t="n"/>
      <c r="C23" s="40" t="n"/>
      <c r="D23" s="34" t="n"/>
      <c r="E23" s="35">
        <f>IF(OR(B23="",D23=""),0,B23*D23)</f>
        <v/>
      </c>
      <c r="F23" s="30" t="n"/>
    </row>
    <row r="24">
      <c r="A24" s="32" t="inlineStr">
        <is>
          <t>Costo Insumos Específicos (por kg carne)</t>
        </is>
      </c>
      <c r="B24" s="35">
        <f>E6</f>
        <v/>
      </c>
      <c r="C24" s="30" t="n"/>
      <c r="D24" s="30" t="n"/>
      <c r="E24" s="30" t="n"/>
      <c r="F24" s="30" t="n"/>
    </row>
    <row r="25">
      <c r="A25" s="32" t="inlineStr">
        <is>
          <t>Costos Generales por Lote (huevo, sal, etc.)</t>
        </is>
      </c>
      <c r="B25" s="35">
        <f>'Costos Generales'!E4</f>
        <v/>
      </c>
      <c r="C25" s="30" t="n"/>
      <c r="D25" s="30" t="n"/>
      <c r="E25" s="30" t="n"/>
      <c r="F25" s="30" t="n"/>
    </row>
    <row r="26">
      <c r="A26" s="41" t="inlineStr">
        <is>
          <t>Costo Total del Lote (subtotal)</t>
        </is>
      </c>
      <c r="B26" s="42">
        <f>B24+B25</f>
        <v/>
      </c>
      <c r="C26" s="30" t="n"/>
      <c r="D26" s="30" t="n"/>
      <c r="E26" s="30" t="n"/>
      <c r="F26" s="30" t="n"/>
    </row>
    <row r="27">
      <c r="A27" s="32" t="inlineStr">
        <is>
          <t>Peso final del lote rebozado (kg) [Ej: 1.35 a 1.40 kg por kg carne]</t>
        </is>
      </c>
      <c r="B27" s="43" t="n">
        <v>1.35</v>
      </c>
      <c r="C27" s="30" t="n"/>
      <c r="D27" s="30" t="n"/>
      <c r="E27" s="30" t="n"/>
      <c r="F27" s="30" t="n"/>
    </row>
    <row r="28">
      <c r="A28" s="32" t="inlineStr">
        <is>
          <t>Peso por milanesa (g)</t>
        </is>
      </c>
      <c r="B28" s="37" t="n">
        <v>180</v>
      </c>
      <c r="C28" s="30" t="n"/>
      <c r="D28" s="30" t="n"/>
      <c r="E28" s="30" t="n"/>
      <c r="F28" s="30" t="n"/>
    </row>
    <row r="29">
      <c r="A29" s="32" t="inlineStr">
        <is>
          <t>Unidades por lote</t>
        </is>
      </c>
      <c r="B29" s="44">
        <f>IF(OR(B27="",B28="",B28=0),0,(B27*1000)/B28)</f>
        <v/>
      </c>
      <c r="C29" s="30" t="n"/>
      <c r="D29" s="30" t="n"/>
      <c r="E29" s="30" t="n"/>
      <c r="F29" s="30" t="n"/>
    </row>
    <row r="30">
      <c r="A30" s="32" t="inlineStr">
        <is>
          <t>Costo del lote por unidad</t>
        </is>
      </c>
      <c r="B30" s="35">
        <f>IF(B29=0,0,B26/B29)</f>
        <v/>
      </c>
      <c r="C30" s="30" t="n"/>
      <c r="D30" s="30" t="n"/>
      <c r="E30" s="30" t="n"/>
      <c r="F30" s="30" t="n"/>
    </row>
    <row r="31">
      <c r="A31" s="45" t="inlineStr">
        <is>
          <t>COSTO FINAL POR MILANESA</t>
        </is>
      </c>
      <c r="B31" s="46">
        <f>B30/(1-'Costos Generales'!B39)</f>
        <v/>
      </c>
      <c r="C31" s="30" t="n"/>
      <c r="D31" s="30" t="n"/>
      <c r="E31" s="30" t="n"/>
      <c r="F31" s="30" t="n"/>
    </row>
    <row r="32">
      <c r="A32" s="30" t="n"/>
      <c r="B32" s="30" t="n"/>
      <c r="C32" s="30" t="n"/>
      <c r="D32" s="30" t="n"/>
      <c r="E32" s="30" t="n"/>
      <c r="F32" s="30" t="n"/>
    </row>
    <row r="33">
      <c r="A33" s="30" t="n"/>
      <c r="B33" s="30" t="n"/>
      <c r="C33" s="30" t="n"/>
      <c r="D33" s="30" t="n"/>
      <c r="E33" s="30" t="n"/>
      <c r="F33" s="30" t="n"/>
    </row>
    <row r="34" ht="15.75" customHeight="1" s="62">
      <c r="A34" s="61" t="inlineStr">
        <is>
          <t>Vacuno Ahumado</t>
        </is>
      </c>
    </row>
    <row r="35">
      <c r="A35" s="63" t="inlineStr">
        <is>
          <t>TOTAL INSUMOS ESPECÍFICOS (por kg de carne)</t>
        </is>
      </c>
      <c r="B35" s="59" t="n"/>
      <c r="C35" s="59" t="n"/>
      <c r="D35" s="60" t="n"/>
      <c r="E35" s="29">
        <f>SUM(E37:E52)</f>
        <v/>
      </c>
      <c r="F35" s="30" t="n"/>
    </row>
    <row r="36" ht="30" customHeight="1" s="62">
      <c r="A36" s="31" t="inlineStr">
        <is>
          <t>Insumo</t>
        </is>
      </c>
      <c r="B36" s="31" t="inlineStr">
        <is>
          <t>Cantidad</t>
        </is>
      </c>
      <c r="C36" s="31" t="inlineStr">
        <is>
          <t>Unidad</t>
        </is>
      </c>
      <c r="D36" s="31" t="inlineStr">
        <is>
          <t>Costo unitario</t>
        </is>
      </c>
      <c r="E36" s="31" t="inlineStr">
        <is>
          <t>Costo de la línea</t>
        </is>
      </c>
      <c r="F36" s="30" t="n"/>
    </row>
    <row r="37">
      <c r="A37" s="32" t="inlineStr">
        <is>
          <t>Pimenton ahumado</t>
        </is>
      </c>
      <c r="B37" s="33" t="n">
        <v>8</v>
      </c>
      <c r="C37" s="32" t="inlineStr">
        <is>
          <t>g</t>
        </is>
      </c>
      <c r="D37" s="34" t="n">
        <v>12</v>
      </c>
      <c r="E37" s="35">
        <f>IF(OR(B37="",D37=""),0,B37*D37)</f>
        <v/>
      </c>
      <c r="F37" s="30" t="n"/>
    </row>
    <row r="38">
      <c r="A38" s="32" t="inlineStr">
        <is>
          <t>Ajo en polvo</t>
        </is>
      </c>
      <c r="B38" s="33" t="n">
        <v>4</v>
      </c>
      <c r="C38" s="32" t="inlineStr">
        <is>
          <t>g</t>
        </is>
      </c>
      <c r="D38" s="34" t="n">
        <v>12</v>
      </c>
      <c r="E38" s="35">
        <f>IF(OR(B38="",D38=""),0,B38*D38)</f>
        <v/>
      </c>
      <c r="F38" s="30" t="n"/>
    </row>
    <row r="39">
      <c r="A39" s="32" t="inlineStr">
        <is>
          <t>Perejil</t>
        </is>
      </c>
      <c r="B39" s="33" t="n">
        <v>2</v>
      </c>
      <c r="C39" s="32" t="inlineStr">
        <is>
          <t>g</t>
        </is>
      </c>
      <c r="D39" s="34" t="n">
        <v>12</v>
      </c>
      <c r="E39" s="35">
        <f>IF(OR(B39="",D39=""),0,B39*D39)</f>
        <v/>
      </c>
      <c r="F39" s="30" t="n"/>
    </row>
    <row r="40">
      <c r="A40" s="32" t="inlineStr">
        <is>
          <t>Pimienta</t>
        </is>
      </c>
      <c r="B40" s="33" t="n">
        <v>2</v>
      </c>
      <c r="C40" s="32" t="inlineStr">
        <is>
          <t>g</t>
        </is>
      </c>
      <c r="D40" s="34" t="n">
        <v>12</v>
      </c>
      <c r="E40" s="35">
        <f>IF(OR(B40="",D40=""),0,B40*D40)</f>
        <v/>
      </c>
      <c r="F40" s="30" t="n"/>
    </row>
    <row r="41">
      <c r="A41" s="36" t="inlineStr">
        <is>
          <t>Mostaza</t>
        </is>
      </c>
      <c r="B41" s="37" t="n">
        <v>10</v>
      </c>
      <c r="C41" s="32" t="inlineStr">
        <is>
          <t>g</t>
        </is>
      </c>
      <c r="D41" s="38" t="n">
        <v>3.5</v>
      </c>
      <c r="E41" s="38">
        <f>IF(OR(B41="",D41=""),0,B41*D41)</f>
        <v/>
      </c>
      <c r="F41" s="30" t="n"/>
    </row>
    <row r="42">
      <c r="A42" s="32" t="inlineStr">
        <is>
          <t>Carne Vaca</t>
        </is>
      </c>
      <c r="B42" s="39" t="n">
        <v>1000</v>
      </c>
      <c r="C42" s="32" t="inlineStr">
        <is>
          <t>g</t>
        </is>
      </c>
      <c r="D42" s="34" t="n">
        <v>17</v>
      </c>
      <c r="E42" s="35">
        <f>IF(OR(B42="",D42=""),0,B42*D42)</f>
        <v/>
      </c>
      <c r="F42" s="30" t="n"/>
    </row>
    <row r="43">
      <c r="A43" s="32" t="inlineStr">
        <is>
          <t>Pan rayado</t>
        </is>
      </c>
      <c r="B43" s="39" t="n">
        <v>200</v>
      </c>
      <c r="C43" s="32" t="inlineStr">
        <is>
          <t>g</t>
        </is>
      </c>
      <c r="D43" s="34" t="n">
        <v>1.8</v>
      </c>
      <c r="E43" s="35">
        <f>IF(OR(B43="",D43=""),0,B43*D43)</f>
        <v/>
      </c>
      <c r="F43" s="30" t="n"/>
    </row>
    <row r="44">
      <c r="A44" s="40" t="inlineStr">
        <is>
          <t>Rebozador</t>
        </is>
      </c>
      <c r="B44" s="33" t="n">
        <v>50</v>
      </c>
      <c r="C44" s="40" t="inlineStr">
        <is>
          <t>g</t>
        </is>
      </c>
      <c r="D44" s="34" t="n">
        <v>2.5</v>
      </c>
      <c r="E44" s="35">
        <f>IF(OR(B44="",D44=""),0,B44*D44)</f>
        <v/>
      </c>
      <c r="F44" s="30" t="n"/>
    </row>
    <row r="45">
      <c r="A45" s="40" t="n"/>
      <c r="B45" s="33" t="n"/>
      <c r="C45" s="40" t="n"/>
      <c r="D45" s="34" t="n"/>
      <c r="E45" s="35">
        <f>IF(OR(B45="",D45=""),0,B45*D45)</f>
        <v/>
      </c>
      <c r="F45" s="30" t="n"/>
    </row>
    <row r="46">
      <c r="A46" s="40" t="n"/>
      <c r="B46" s="33" t="n"/>
      <c r="C46" s="40" t="n"/>
      <c r="D46" s="34" t="n"/>
      <c r="E46" s="35">
        <f>IF(OR(B46="",D46=""),0,B46*D46)</f>
        <v/>
      </c>
      <c r="F46" s="30" t="n"/>
    </row>
    <row r="47">
      <c r="A47" s="40" t="n"/>
      <c r="B47" s="33" t="n"/>
      <c r="C47" s="40" t="n"/>
      <c r="D47" s="34" t="n"/>
      <c r="E47" s="35">
        <f>IF(OR(B47="",D47=""),0,B47*D47)</f>
        <v/>
      </c>
      <c r="F47" s="30" t="n"/>
    </row>
    <row r="48">
      <c r="A48" s="40" t="n"/>
      <c r="B48" s="33" t="n"/>
      <c r="C48" s="40" t="n"/>
      <c r="D48" s="34" t="n"/>
      <c r="E48" s="35">
        <f>IF(OR(B48="",D48=""),0,B48*D48)</f>
        <v/>
      </c>
      <c r="F48" s="30" t="n"/>
    </row>
    <row r="49">
      <c r="A49" s="40" t="n"/>
      <c r="B49" s="33" t="n"/>
      <c r="C49" s="40" t="n"/>
      <c r="D49" s="34" t="n"/>
      <c r="E49" s="35">
        <f>IF(OR(B49="",D49=""),0,B49*D49)</f>
        <v/>
      </c>
      <c r="F49" s="30" t="n"/>
    </row>
    <row r="50">
      <c r="A50" s="40" t="n"/>
      <c r="B50" s="33" t="n"/>
      <c r="C50" s="40" t="n"/>
      <c r="D50" s="34" t="n"/>
      <c r="E50" s="35">
        <f>IF(OR(B50="",D50=""),0,B50*D50)</f>
        <v/>
      </c>
      <c r="F50" s="30" t="n"/>
    </row>
    <row r="51">
      <c r="A51" s="40" t="n"/>
      <c r="B51" s="33" t="n"/>
      <c r="C51" s="40" t="n"/>
      <c r="D51" s="34" t="n"/>
      <c r="E51" s="35">
        <f>IF(OR(B51="",D51=""),0,B51*D51)</f>
        <v/>
      </c>
      <c r="F51" s="30" t="n"/>
    </row>
    <row r="52">
      <c r="A52" s="40" t="n"/>
      <c r="B52" s="33" t="n"/>
      <c r="C52" s="40" t="n"/>
      <c r="D52" s="34" t="n"/>
      <c r="E52" s="35">
        <f>IF(OR(B52="",D52=""),0,B52*D52)</f>
        <v/>
      </c>
      <c r="F52" s="30" t="n"/>
    </row>
    <row r="53">
      <c r="A53" s="32" t="inlineStr">
        <is>
          <t>Costo Insumos Específicos (por kg carne)</t>
        </is>
      </c>
      <c r="B53" s="35">
        <f>E35</f>
        <v/>
      </c>
      <c r="C53" s="30" t="n"/>
      <c r="D53" s="30" t="n"/>
      <c r="E53" s="30" t="n"/>
      <c r="F53" s="30" t="n"/>
    </row>
    <row r="54">
      <c r="A54" s="32" t="inlineStr">
        <is>
          <t>Costos Generales por Lote (huevo, sal, etc.)</t>
        </is>
      </c>
      <c r="B54" s="35">
        <f>'Costos Generales'!E4</f>
        <v/>
      </c>
      <c r="C54" s="30" t="n"/>
      <c r="D54" s="30" t="n"/>
      <c r="E54" s="30" t="n"/>
      <c r="F54" s="30" t="n"/>
    </row>
    <row r="55">
      <c r="A55" s="41" t="inlineStr">
        <is>
          <t>Costo Total del Lote (subtotal)</t>
        </is>
      </c>
      <c r="B55" s="42">
        <f>B53+B54</f>
        <v/>
      </c>
      <c r="C55" s="30" t="n"/>
      <c r="D55" s="30" t="n"/>
      <c r="E55" s="30" t="n"/>
      <c r="F55" s="30" t="n"/>
    </row>
    <row r="56">
      <c r="A56" s="32" t="inlineStr">
        <is>
          <t>Peso final del lote rebozado (kg) [Ej: 1.35 a 1.40 kg por kg carne]</t>
        </is>
      </c>
      <c r="B56" s="43" t="n">
        <v>1.35</v>
      </c>
      <c r="C56" s="30" t="n"/>
      <c r="D56" s="30" t="n"/>
      <c r="E56" s="30" t="n"/>
      <c r="F56" s="30" t="n"/>
    </row>
    <row r="57">
      <c r="A57" s="32" t="inlineStr">
        <is>
          <t>Peso por milanesa (g)</t>
        </is>
      </c>
      <c r="B57" s="37" t="n">
        <v>180</v>
      </c>
      <c r="C57" s="30" t="n"/>
      <c r="D57" s="30" t="n"/>
      <c r="E57" s="30" t="n"/>
      <c r="F57" s="30" t="n"/>
    </row>
    <row r="58">
      <c r="A58" s="32" t="inlineStr">
        <is>
          <t>Unidades por lote</t>
        </is>
      </c>
      <c r="B58" s="44">
        <f>IF(OR(B56="",B57="",B57=0),0,(B56*1000)/B57)</f>
        <v/>
      </c>
      <c r="C58" s="30" t="n"/>
      <c r="D58" s="30" t="n"/>
      <c r="E58" s="30" t="n"/>
      <c r="F58" s="30" t="n"/>
    </row>
    <row r="59">
      <c r="A59" s="32" t="inlineStr">
        <is>
          <t>Costo del lote por unidad</t>
        </is>
      </c>
      <c r="B59" s="35">
        <f>IF(B58=0,0,B55/B58)</f>
        <v/>
      </c>
      <c r="C59" s="30" t="n"/>
      <c r="D59" s="30" t="n"/>
      <c r="E59" s="30" t="n"/>
      <c r="F59" s="30" t="n"/>
    </row>
    <row r="60">
      <c r="A60" s="45" t="inlineStr">
        <is>
          <t>COSTO FINAL POR MILANESA</t>
        </is>
      </c>
      <c r="B60" s="46">
        <f>B59/(1-'Costos Generales'!B39)</f>
        <v/>
      </c>
      <c r="C60" s="30" t="n"/>
      <c r="D60" s="30" t="n"/>
      <c r="E60" s="30" t="n"/>
      <c r="F60" s="30" t="n"/>
    </row>
    <row r="61">
      <c r="A61" s="30" t="n"/>
      <c r="B61" s="30" t="n"/>
      <c r="C61" s="30" t="n"/>
      <c r="D61" s="30" t="n"/>
      <c r="E61" s="30" t="n"/>
      <c r="F61" s="30" t="n"/>
    </row>
    <row r="62">
      <c r="A62" s="30" t="n"/>
      <c r="B62" s="30" t="n"/>
      <c r="C62" s="30" t="n"/>
      <c r="D62" s="30" t="n"/>
      <c r="E62" s="30" t="n"/>
      <c r="F62" s="30" t="n"/>
    </row>
    <row r="63" ht="15.75" customHeight="1" s="62">
      <c r="A63" s="61" t="inlineStr">
        <is>
          <t>Vacuno Picante</t>
        </is>
      </c>
    </row>
    <row r="64">
      <c r="A64" s="63" t="inlineStr">
        <is>
          <t>TOTAL INSUMOS ESPECÍFICOS (por kg de carne)</t>
        </is>
      </c>
      <c r="B64" s="59" t="n"/>
      <c r="C64" s="59" t="n"/>
      <c r="D64" s="60" t="n"/>
      <c r="E64" s="29">
        <f>SUM(E66:E81)</f>
        <v/>
      </c>
      <c r="F64" s="30" t="n"/>
    </row>
    <row r="65" ht="30" customHeight="1" s="62">
      <c r="A65" s="31" t="inlineStr">
        <is>
          <t>Insumo</t>
        </is>
      </c>
      <c r="B65" s="31" t="inlineStr">
        <is>
          <t>Cantidad</t>
        </is>
      </c>
      <c r="C65" s="31" t="inlineStr">
        <is>
          <t>Unidad</t>
        </is>
      </c>
      <c r="D65" s="31" t="inlineStr">
        <is>
          <t>Costo unitario</t>
        </is>
      </c>
      <c r="E65" s="31" t="inlineStr">
        <is>
          <t>Costo de la línea</t>
        </is>
      </c>
      <c r="F65" s="30" t="n"/>
    </row>
    <row r="66">
      <c r="A66" s="32" t="inlineStr">
        <is>
          <t>Carne de vaca</t>
        </is>
      </c>
      <c r="B66" s="33" t="n">
        <v>1000</v>
      </c>
      <c r="C66" s="32" t="inlineStr">
        <is>
          <t>g</t>
        </is>
      </c>
      <c r="D66" s="34" t="n">
        <v>17</v>
      </c>
      <c r="E66" s="35">
        <f>IF(OR(B66="",D66=""),0,B66*D66)</f>
        <v/>
      </c>
      <c r="F66" s="30" t="n"/>
    </row>
    <row r="67">
      <c r="A67" s="32" t="inlineStr">
        <is>
          <t>Pan rayado</t>
        </is>
      </c>
      <c r="B67" s="33" t="n">
        <v>200</v>
      </c>
      <c r="C67" s="32" t="inlineStr">
        <is>
          <t>g</t>
        </is>
      </c>
      <c r="D67" s="34" t="n">
        <v>1.8</v>
      </c>
      <c r="E67" s="35">
        <f>IF(OR(B67="",D67=""),0,B67*D67)</f>
        <v/>
      </c>
      <c r="F67" s="30" t="n"/>
    </row>
    <row r="68">
      <c r="A68" s="32" t="inlineStr">
        <is>
          <t>Rebozador</t>
        </is>
      </c>
      <c r="B68" s="33" t="n">
        <v>50</v>
      </c>
      <c r="C68" s="32" t="inlineStr">
        <is>
          <t>g</t>
        </is>
      </c>
      <c r="D68" s="34" t="n">
        <v>2.5</v>
      </c>
      <c r="E68" s="35">
        <f>IF(OR(B68="",D68=""),0,B68*D68)</f>
        <v/>
      </c>
      <c r="F68" s="30" t="n"/>
    </row>
    <row r="69">
      <c r="A69" s="32" t="inlineStr">
        <is>
          <t>Oregano</t>
        </is>
      </c>
      <c r="B69" s="33" t="n">
        <v>2</v>
      </c>
      <c r="C69" s="32" t="inlineStr">
        <is>
          <t>g</t>
        </is>
      </c>
      <c r="D69" s="34" t="n">
        <v>12</v>
      </c>
      <c r="E69" s="35">
        <f>IF(OR(B69="",D69=""),0,B69*D69)</f>
        <v/>
      </c>
      <c r="F69" s="30" t="n"/>
    </row>
    <row r="70">
      <c r="A70" s="32" t="n"/>
      <c r="B70" s="33" t="n"/>
      <c r="C70" s="32" t="inlineStr">
        <is>
          <t>g</t>
        </is>
      </c>
      <c r="D70" s="34" t="n"/>
      <c r="E70" s="35">
        <f>IF(D70="",0,B70*D70)</f>
        <v/>
      </c>
      <c r="F70" s="30" t="n"/>
    </row>
    <row r="71">
      <c r="A71" s="32" t="n"/>
      <c r="B71" s="33" t="n"/>
      <c r="C71" s="32" t="inlineStr">
        <is>
          <t>g</t>
        </is>
      </c>
      <c r="D71" s="34" t="n"/>
      <c r="E71" s="35">
        <f>IF(D71="",0,B71*D71)</f>
        <v/>
      </c>
      <c r="F71" s="30" t="n"/>
    </row>
    <row r="72">
      <c r="A72" s="36" t="n"/>
      <c r="B72" s="37" t="n"/>
      <c r="C72" s="32" t="inlineStr">
        <is>
          <t>g</t>
        </is>
      </c>
      <c r="D72" s="38" t="n"/>
      <c r="E72" s="38" t="n"/>
      <c r="F72" s="30" t="n"/>
    </row>
    <row r="73">
      <c r="A73" s="32" t="n"/>
      <c r="B73" s="39" t="n"/>
      <c r="C73" s="32" t="inlineStr">
        <is>
          <t>g</t>
        </is>
      </c>
      <c r="D73" s="34" t="n"/>
      <c r="E73" s="35">
        <f>IF(D73="",0,B73*D73)</f>
        <v/>
      </c>
      <c r="F73" s="30" t="n"/>
    </row>
    <row r="74">
      <c r="A74" s="32" t="n"/>
      <c r="B74" s="39" t="n"/>
      <c r="C74" s="32" t="inlineStr">
        <is>
          <t>g</t>
        </is>
      </c>
      <c r="D74" s="34" t="n"/>
      <c r="E74" s="35">
        <f>IF(D74="",0,B74*D74)</f>
        <v/>
      </c>
      <c r="F74" s="30" t="n"/>
    </row>
    <row r="75">
      <c r="A75" s="40" t="n"/>
      <c r="B75" s="33" t="n"/>
      <c r="C75" s="40" t="n"/>
      <c r="D75" s="34" t="n"/>
      <c r="E75" s="35">
        <f>IF(OR(B75="",D75=""),0,B75*D75)</f>
        <v/>
      </c>
      <c r="F75" s="30" t="n"/>
    </row>
    <row r="76">
      <c r="A76" s="40" t="n"/>
      <c r="B76" s="33" t="n"/>
      <c r="C76" s="40" t="n"/>
      <c r="D76" s="34" t="n"/>
      <c r="E76" s="35">
        <f>IF(OR(B76="",D76=""),0,B76*D76)</f>
        <v/>
      </c>
      <c r="F76" s="30" t="n"/>
    </row>
    <row r="77">
      <c r="A77" s="40" t="n"/>
      <c r="B77" s="33" t="n"/>
      <c r="C77" s="40" t="n"/>
      <c r="D77" s="34" t="n"/>
      <c r="E77" s="35">
        <f>IF(OR(B77="",D77=""),0,B77*D77)</f>
        <v/>
      </c>
      <c r="F77" s="30" t="n"/>
    </row>
    <row r="78">
      <c r="A78" s="40" t="n"/>
      <c r="B78" s="33" t="n"/>
      <c r="C78" s="40" t="n"/>
      <c r="D78" s="34" t="n"/>
      <c r="E78" s="35">
        <f>IF(OR(B78="",D78=""),0,B78*D78)</f>
        <v/>
      </c>
      <c r="F78" s="30" t="n"/>
    </row>
    <row r="79">
      <c r="A79" s="40" t="n"/>
      <c r="B79" s="33" t="n"/>
      <c r="C79" s="40" t="n"/>
      <c r="D79" s="34" t="n"/>
      <c r="E79" s="35">
        <f>IF(OR(B79="",D79=""),0,B79*D79)</f>
        <v/>
      </c>
      <c r="F79" s="30" t="n"/>
    </row>
    <row r="80">
      <c r="A80" s="40" t="n"/>
      <c r="B80" s="33" t="n"/>
      <c r="C80" s="40" t="n"/>
      <c r="D80" s="34" t="n"/>
      <c r="E80" s="35">
        <f>IF(OR(B80="",D80=""),0,B80*D80)</f>
        <v/>
      </c>
      <c r="F80" s="30" t="n"/>
    </row>
    <row r="81">
      <c r="A81" s="40" t="n"/>
      <c r="B81" s="33" t="n"/>
      <c r="C81" s="40" t="n"/>
      <c r="D81" s="34" t="n"/>
      <c r="E81" s="35">
        <f>IF(OR(B81="",D81=""),0,B81*D81)</f>
        <v/>
      </c>
      <c r="F81" s="30" t="n"/>
    </row>
    <row r="82">
      <c r="A82" s="32" t="inlineStr">
        <is>
          <t>Costo Insumos Específicos (por kg carne)</t>
        </is>
      </c>
      <c r="B82" s="35">
        <f>E64</f>
        <v/>
      </c>
      <c r="C82" s="30" t="n"/>
      <c r="D82" s="30" t="n"/>
      <c r="E82" s="30" t="n"/>
      <c r="F82" s="30" t="n"/>
    </row>
    <row r="83">
      <c r="A83" s="32" t="inlineStr">
        <is>
          <t>Costos Generales por Lote (huevo, sal, etc.)</t>
        </is>
      </c>
      <c r="B83" s="35">
        <f>'Costos Generales'!E4</f>
        <v/>
      </c>
      <c r="C83" s="30" t="n"/>
      <c r="D83" s="30" t="n"/>
      <c r="E83" s="30" t="n"/>
      <c r="F83" s="30" t="n"/>
    </row>
    <row r="84">
      <c r="A84" s="41" t="inlineStr">
        <is>
          <t>Costo Total del Lote (subtotal)</t>
        </is>
      </c>
      <c r="B84" s="42">
        <f>B82+B83</f>
        <v/>
      </c>
      <c r="C84" s="30" t="n"/>
      <c r="D84" s="30" t="n"/>
      <c r="E84" s="30" t="n"/>
      <c r="F84" s="30" t="n"/>
    </row>
    <row r="85">
      <c r="A85" s="32" t="inlineStr">
        <is>
          <t>Peso final del lote rebozado (kg) [Ej: 1.35 a 1.40 kg por kg carne]</t>
        </is>
      </c>
      <c r="B85" s="43" t="n">
        <v>1.35</v>
      </c>
      <c r="C85" s="30" t="n"/>
      <c r="D85" s="30" t="n"/>
      <c r="E85" s="30" t="n"/>
      <c r="F85" s="30" t="n"/>
    </row>
    <row r="86">
      <c r="A86" s="32" t="inlineStr">
        <is>
          <t>Peso por milanesa (g)</t>
        </is>
      </c>
      <c r="B86" s="37" t="n">
        <v>180</v>
      </c>
      <c r="C86" s="30" t="n"/>
      <c r="D86" s="30" t="n"/>
      <c r="E86" s="30" t="n"/>
      <c r="F86" s="30" t="n"/>
    </row>
    <row r="87">
      <c r="A87" s="32" t="inlineStr">
        <is>
          <t>Unidades por lote</t>
        </is>
      </c>
      <c r="B87" s="44">
        <f>IF(OR(B85="",B86="",B86=0),0,(B85*1000)/B86)</f>
        <v/>
      </c>
      <c r="C87" s="30" t="n"/>
      <c r="D87" s="30" t="n"/>
      <c r="E87" s="30" t="n"/>
      <c r="F87" s="30" t="n"/>
    </row>
    <row r="88">
      <c r="A88" s="32" t="inlineStr">
        <is>
          <t>Costo del lote por unidad</t>
        </is>
      </c>
      <c r="B88" s="35">
        <f>IF(B87=0,0,B84/B87)</f>
        <v/>
      </c>
      <c r="C88" s="30" t="n"/>
      <c r="D88" s="30" t="n"/>
      <c r="E88" s="30" t="n"/>
      <c r="F88" s="30" t="n"/>
    </row>
    <row r="89">
      <c r="A89" s="45" t="inlineStr">
        <is>
          <t>COSTO FINAL POR MILANESA</t>
        </is>
      </c>
      <c r="B89" s="46">
        <f>B88/(1-'Costos Generales'!B39)</f>
        <v/>
      </c>
      <c r="C89" s="30" t="n"/>
      <c r="D89" s="30" t="n"/>
      <c r="E89" s="30" t="n"/>
      <c r="F89" s="30" t="n"/>
    </row>
    <row r="90">
      <c r="A90" s="30" t="n"/>
      <c r="B90" s="30" t="n"/>
      <c r="C90" s="30" t="n"/>
      <c r="D90" s="30" t="n"/>
      <c r="E90" s="30" t="n"/>
      <c r="F90" s="30" t="n"/>
    </row>
    <row r="91">
      <c r="A91" s="30" t="n"/>
      <c r="B91" s="30" t="n"/>
      <c r="C91" s="30" t="n"/>
      <c r="D91" s="30" t="n"/>
      <c r="E91" s="30" t="n"/>
      <c r="F91" s="30" t="n"/>
    </row>
    <row r="92" ht="15.75" customHeight="1" s="62">
      <c r="A92" s="61" t="inlineStr">
        <is>
          <t>Milanesa de Bola de Lomo Rellena (Vaca)</t>
        </is>
      </c>
    </row>
    <row r="93">
      <c r="A93" s="63" t="inlineStr">
        <is>
          <t>TOTAL INSUMOS ESPECÍFICOS (por kg de carne)</t>
        </is>
      </c>
      <c r="B93" s="59" t="n"/>
      <c r="C93" s="59" t="n"/>
      <c r="D93" s="60" t="n"/>
      <c r="E93" s="29">
        <f>SUM(E95:E110)</f>
        <v/>
      </c>
      <c r="F93" s="30" t="n"/>
    </row>
    <row r="94" ht="30" customHeight="1" s="62">
      <c r="A94" s="31" t="inlineStr">
        <is>
          <t>Insumo</t>
        </is>
      </c>
      <c r="B94" s="31" t="inlineStr">
        <is>
          <t>Cantidad</t>
        </is>
      </c>
      <c r="C94" s="31" t="inlineStr">
        <is>
          <t>Unidad</t>
        </is>
      </c>
      <c r="D94" s="31" t="inlineStr">
        <is>
          <t>Costo unitario</t>
        </is>
      </c>
      <c r="E94" s="31" t="inlineStr">
        <is>
          <t>Costo de la línea</t>
        </is>
      </c>
      <c r="F94" s="30" t="n"/>
    </row>
    <row r="95">
      <c r="A95" s="32" t="inlineStr">
        <is>
          <t>Carne de vaca</t>
        </is>
      </c>
      <c r="B95" s="33" t="n">
        <v>1000</v>
      </c>
      <c r="C95" s="32" t="inlineStr">
        <is>
          <t>g</t>
        </is>
      </c>
      <c r="D95" s="34" t="n">
        <v>17</v>
      </c>
      <c r="E95" s="35">
        <f>IF(OR(B95="",D95=""),0,B95*D95)</f>
        <v/>
      </c>
      <c r="F95" s="30" t="n"/>
    </row>
    <row r="96">
      <c r="A96" s="36" t="inlineStr">
        <is>
          <t>Pan rayado</t>
        </is>
      </c>
      <c r="B96" s="37" t="n">
        <v>200</v>
      </c>
      <c r="C96" s="32" t="inlineStr">
        <is>
          <t>g</t>
        </is>
      </c>
      <c r="D96" s="38" t="n">
        <v>1.8</v>
      </c>
      <c r="E96" s="38">
        <f>IF(OR(B96="",D96=""),0,B96*D96)</f>
        <v/>
      </c>
      <c r="F96" s="30" t="n"/>
    </row>
    <row r="97">
      <c r="A97" s="32" t="inlineStr">
        <is>
          <t>Rebozador</t>
        </is>
      </c>
      <c r="B97" s="39" t="n">
        <v>50</v>
      </c>
      <c r="C97" s="32" t="inlineStr">
        <is>
          <t>g</t>
        </is>
      </c>
      <c r="D97" s="34" t="n">
        <v>2.5</v>
      </c>
      <c r="E97" s="35">
        <f>IF(OR(B97="",D97=""),0,B97*D97)</f>
        <v/>
      </c>
      <c r="F97" s="30" t="n"/>
    </row>
    <row r="98">
      <c r="A98" s="36" t="inlineStr">
        <is>
          <t>Oregano</t>
        </is>
      </c>
      <c r="B98" s="37" t="n">
        <v>2</v>
      </c>
      <c r="C98" s="32" t="inlineStr">
        <is>
          <t>g</t>
        </is>
      </c>
      <c r="D98" s="38" t="n">
        <v>12</v>
      </c>
      <c r="E98" s="38">
        <f>IF(OR(B98="",D98=""),0,B98*D98)</f>
        <v/>
      </c>
      <c r="F98" s="30" t="n"/>
    </row>
    <row r="99">
      <c r="A99" s="32" t="n"/>
      <c r="B99" s="39" t="n"/>
      <c r="C99" s="32" t="inlineStr">
        <is>
          <t>g</t>
        </is>
      </c>
      <c r="D99" s="34" t="n"/>
      <c r="E99" s="35">
        <f>IF(D99="",0,B99*D99)</f>
        <v/>
      </c>
      <c r="F99" s="30" t="n"/>
    </row>
    <row r="100">
      <c r="A100" s="32" t="n"/>
      <c r="B100" s="39" t="n"/>
      <c r="C100" s="32" t="inlineStr">
        <is>
          <t>g</t>
        </is>
      </c>
      <c r="D100" s="34" t="n"/>
      <c r="E100" s="35">
        <f>IF(D100="",0,B100*D100)</f>
        <v/>
      </c>
      <c r="F100" s="30" t="n"/>
    </row>
    <row r="101">
      <c r="A101" s="40" t="n"/>
      <c r="B101" s="33" t="n"/>
      <c r="C101" s="40" t="n"/>
      <c r="D101" s="34" t="n"/>
      <c r="E101" s="35">
        <f>IF(OR(B101="",D101=""),0,B101*D101)</f>
        <v/>
      </c>
      <c r="F101" s="30" t="n"/>
    </row>
    <row r="102">
      <c r="A102" s="40" t="n"/>
      <c r="B102" s="33" t="n"/>
      <c r="C102" s="40" t="n"/>
      <c r="D102" s="34" t="n"/>
      <c r="E102" s="35">
        <f>IF(OR(B102="",D102=""),0,B102*D102)</f>
        <v/>
      </c>
      <c r="F102" s="30" t="n"/>
    </row>
    <row r="103">
      <c r="A103" s="40" t="n"/>
      <c r="B103" s="33" t="n"/>
      <c r="C103" s="40" t="n"/>
      <c r="D103" s="34" t="n"/>
      <c r="E103" s="35">
        <f>IF(OR(B103="",D103=""),0,B103*D103)</f>
        <v/>
      </c>
      <c r="F103" s="30" t="n"/>
    </row>
    <row r="104">
      <c r="A104" s="40" t="n"/>
      <c r="B104" s="33" t="n"/>
      <c r="C104" s="40" t="n"/>
      <c r="D104" s="34" t="n"/>
      <c r="E104" s="35">
        <f>IF(OR(B104="",D104=""),0,B104*D104)</f>
        <v/>
      </c>
      <c r="F104" s="30" t="n"/>
    </row>
    <row r="105">
      <c r="A105" s="40" t="n"/>
      <c r="B105" s="33" t="n"/>
      <c r="C105" s="40" t="n"/>
      <c r="D105" s="34" t="n"/>
      <c r="E105" s="35">
        <f>IF(OR(B105="",D105=""),0,B105*D105)</f>
        <v/>
      </c>
      <c r="F105" s="30" t="n"/>
    </row>
    <row r="106">
      <c r="A106" s="40" t="n"/>
      <c r="B106" s="33" t="n"/>
      <c r="C106" s="40" t="n"/>
      <c r="D106" s="34" t="n"/>
      <c r="E106" s="35">
        <f>IF(OR(B106="",D106=""),0,B106*D106)</f>
        <v/>
      </c>
      <c r="F106" s="30" t="n"/>
    </row>
    <row r="107">
      <c r="A107" s="40" t="n"/>
      <c r="B107" s="33" t="n"/>
      <c r="C107" s="40" t="n"/>
      <c r="D107" s="34" t="n"/>
      <c r="E107" s="35">
        <f>IF(OR(B107="",D107=""),0,B107*D107)</f>
        <v/>
      </c>
      <c r="F107" s="30" t="n"/>
    </row>
    <row r="108">
      <c r="A108" s="40" t="n"/>
      <c r="B108" s="33" t="n"/>
      <c r="C108" s="40" t="n"/>
      <c r="D108" s="34" t="n"/>
      <c r="E108" s="35">
        <f>IF(OR(B108="",D108=""),0,B108*D108)</f>
        <v/>
      </c>
      <c r="F108" s="30" t="n"/>
    </row>
    <row r="109">
      <c r="A109" s="40" t="n"/>
      <c r="B109" s="33" t="n"/>
      <c r="C109" s="40" t="n"/>
      <c r="D109" s="34" t="n"/>
      <c r="E109" s="35">
        <f>IF(OR(B109="",D109=""),0,B109*D109)</f>
        <v/>
      </c>
      <c r="F109" s="30" t="n"/>
    </row>
    <row r="110">
      <c r="A110" s="40" t="n"/>
      <c r="B110" s="33" t="n"/>
      <c r="C110" s="40" t="n"/>
      <c r="D110" s="34" t="n"/>
      <c r="E110" s="35">
        <f>IF(OR(B110="",D110=""),0,B110*D110)</f>
        <v/>
      </c>
      <c r="F110" s="30" t="n"/>
    </row>
    <row r="111">
      <c r="A111" s="32" t="inlineStr">
        <is>
          <t>Costo Insumos Específicos (por kg carne)</t>
        </is>
      </c>
      <c r="B111" s="35">
        <f>E93</f>
        <v/>
      </c>
      <c r="C111" s="30" t="n"/>
      <c r="D111" s="30" t="n"/>
      <c r="E111" s="30" t="n"/>
      <c r="F111" s="30" t="n"/>
    </row>
    <row r="112">
      <c r="A112" s="32" t="inlineStr">
        <is>
          <t>Costos Generales por Lote (huevo, sal, etc.)</t>
        </is>
      </c>
      <c r="B112" s="35">
        <f>'Costos Generales'!E4</f>
        <v/>
      </c>
      <c r="C112" s="30" t="n"/>
      <c r="D112" s="30" t="n"/>
      <c r="E112" s="30" t="n"/>
      <c r="F112" s="30" t="n"/>
    </row>
    <row r="113">
      <c r="A113" s="41" t="inlineStr">
        <is>
          <t>Costo Total del Lote (subtotal)</t>
        </is>
      </c>
      <c r="B113" s="42">
        <f>B111+B112</f>
        <v/>
      </c>
      <c r="C113" s="30" t="n"/>
      <c r="D113" s="30" t="n"/>
      <c r="E113" s="30" t="n"/>
      <c r="F113" s="30" t="n"/>
    </row>
    <row r="114">
      <c r="A114" s="32" t="inlineStr">
        <is>
          <t>Peso final del lote rebozado (kg) [Ej: 1.35 a 1.40 kg por kg carne]</t>
        </is>
      </c>
      <c r="B114" s="43" t="n">
        <v>1.35</v>
      </c>
      <c r="C114" s="30" t="n"/>
      <c r="D114" s="30" t="n"/>
      <c r="E114" s="30" t="n"/>
      <c r="F114" s="30" t="n"/>
    </row>
    <row r="115">
      <c r="A115" s="32" t="inlineStr">
        <is>
          <t>Peso por milanesa (g)</t>
        </is>
      </c>
      <c r="B115" s="37" t="n">
        <v>220</v>
      </c>
      <c r="C115" s="30" t="n"/>
      <c r="D115" s="30" t="n"/>
      <c r="E115" s="30" t="n"/>
      <c r="F115" s="30" t="n"/>
    </row>
    <row r="116">
      <c r="A116" s="32" t="inlineStr">
        <is>
          <t>Unidades por lote</t>
        </is>
      </c>
      <c r="B116" s="44">
        <f>IF(OR(B114="",B115="",B115=0),0,(B114*1000)/B115)</f>
        <v/>
      </c>
      <c r="C116" s="30" t="n"/>
      <c r="D116" s="30" t="n"/>
      <c r="E116" s="30" t="n"/>
      <c r="F116" s="30" t="n"/>
    </row>
    <row r="117">
      <c r="A117" s="32" t="inlineStr">
        <is>
          <t>Costo del lote por unidad</t>
        </is>
      </c>
      <c r="B117" s="35">
        <f>IF(B116=0,0,B113/B116)</f>
        <v/>
      </c>
      <c r="C117" s="30" t="n"/>
      <c r="D117" s="30" t="n"/>
      <c r="E117" s="30" t="n"/>
      <c r="F117" s="30" t="n"/>
    </row>
    <row r="118">
      <c r="A118" s="45" t="inlineStr">
        <is>
          <t>COSTO FINAL POR MILANESA</t>
        </is>
      </c>
      <c r="B118" s="46">
        <f>B117/(1-'Costos Generales'!B39)</f>
        <v/>
      </c>
      <c r="C118" s="30" t="n"/>
      <c r="D118" s="30" t="n"/>
      <c r="E118" s="30" t="n"/>
      <c r="F118" s="30" t="n"/>
    </row>
    <row r="119">
      <c r="A119" s="30" t="n"/>
      <c r="B119" s="30" t="n"/>
      <c r="C119" s="30" t="n"/>
      <c r="D119" s="30" t="n"/>
      <c r="E119" s="30" t="n"/>
      <c r="F119" s="30" t="n"/>
    </row>
    <row r="120">
      <c r="A120" s="30" t="n"/>
      <c r="B120" s="30" t="n"/>
      <c r="C120" s="30" t="n"/>
      <c r="D120" s="30" t="n"/>
      <c r="E120" s="30" t="n"/>
      <c r="F120" s="30" t="n"/>
    </row>
    <row r="121" ht="15.75" customHeight="1" s="62">
      <c r="A121" s="61" t="inlineStr">
        <is>
          <t>Milanesa Ajo y Perejil (Vaca)</t>
        </is>
      </c>
    </row>
    <row r="122">
      <c r="A122" s="63" t="inlineStr">
        <is>
          <t>TOTAL INSUMOS ESPECÍFICOS (por kg de carne)</t>
        </is>
      </c>
      <c r="B122" s="59" t="n"/>
      <c r="C122" s="59" t="n"/>
      <c r="D122" s="60" t="n"/>
      <c r="E122" s="29">
        <f>SUM(E124:E139)</f>
        <v/>
      </c>
      <c r="F122" s="30" t="n"/>
    </row>
    <row r="123" ht="30" customHeight="1" s="62">
      <c r="A123" s="31" t="inlineStr">
        <is>
          <t>Insumo</t>
        </is>
      </c>
      <c r="B123" s="31" t="inlineStr">
        <is>
          <t>Cantidad</t>
        </is>
      </c>
      <c r="C123" s="31" t="inlineStr">
        <is>
          <t>Unidad</t>
        </is>
      </c>
      <c r="D123" s="31" t="inlineStr">
        <is>
          <t>Costo unitario</t>
        </is>
      </c>
      <c r="E123" s="31" t="inlineStr">
        <is>
          <t>Costo de la línea</t>
        </is>
      </c>
      <c r="F123" s="30" t="n"/>
    </row>
    <row r="124">
      <c r="A124" s="32" t="inlineStr">
        <is>
          <t>Carne de vaca</t>
        </is>
      </c>
      <c r="B124" s="33" t="n">
        <v>1000</v>
      </c>
      <c r="C124" s="32" t="inlineStr">
        <is>
          <t>g</t>
        </is>
      </c>
      <c r="D124" s="34" t="n">
        <v>17</v>
      </c>
      <c r="E124" s="35">
        <f>IF(OR(B124="",D124=""),0,B124*D124)</f>
        <v/>
      </c>
      <c r="F124" s="30" t="n"/>
    </row>
    <row r="125">
      <c r="A125" s="32" t="inlineStr">
        <is>
          <t>Pan rayado</t>
        </is>
      </c>
      <c r="B125" s="33" t="n">
        <v>200</v>
      </c>
      <c r="C125" s="32" t="inlineStr">
        <is>
          <t>g</t>
        </is>
      </c>
      <c r="D125" s="34" t="n">
        <v>1.8</v>
      </c>
      <c r="E125" s="35">
        <f>IF(OR(B125="",D125=""),0,B125*D125)</f>
        <v/>
      </c>
      <c r="F125" s="30" t="n"/>
    </row>
    <row r="126">
      <c r="A126" s="32" t="inlineStr">
        <is>
          <t>Rebozador</t>
        </is>
      </c>
      <c r="B126" s="33" t="n">
        <v>50</v>
      </c>
      <c r="C126" s="32" t="inlineStr">
        <is>
          <t>g</t>
        </is>
      </c>
      <c r="D126" s="34" t="n">
        <v>2.5</v>
      </c>
      <c r="E126" s="35">
        <f>IF(OR(B126="",D126=""),0,B126*D126)</f>
        <v/>
      </c>
      <c r="F126" s="30" t="n"/>
    </row>
    <row r="127">
      <c r="A127" s="32" t="inlineStr">
        <is>
          <t>Oregano</t>
        </is>
      </c>
      <c r="B127" s="33" t="n">
        <v>2</v>
      </c>
      <c r="C127" s="32" t="inlineStr">
        <is>
          <t>g</t>
        </is>
      </c>
      <c r="D127" s="34" t="n">
        <v>12</v>
      </c>
      <c r="E127" s="35">
        <f>IF(OR(B127="",D127=""),0,B127*D127)</f>
        <v/>
      </c>
      <c r="F127" s="30" t="n"/>
    </row>
    <row r="128">
      <c r="A128" s="32" t="n"/>
      <c r="B128" s="33" t="n"/>
      <c r="C128" s="32" t="inlineStr">
        <is>
          <t>g</t>
        </is>
      </c>
      <c r="D128" s="34" t="n"/>
      <c r="E128" s="35">
        <f>IF(D128="",0,B128*D128)</f>
        <v/>
      </c>
      <c r="F128" s="30" t="n"/>
    </row>
    <row r="129">
      <c r="A129" s="32" t="n"/>
      <c r="B129" s="33" t="n"/>
      <c r="C129" s="32" t="inlineStr">
        <is>
          <t>g</t>
        </is>
      </c>
      <c r="D129" s="34" t="n"/>
      <c r="E129" s="35">
        <f>IF(D129="",0,B129*D129)</f>
        <v/>
      </c>
      <c r="F129" s="30" t="n"/>
    </row>
    <row r="130">
      <c r="A130" s="32" t="n"/>
      <c r="B130" s="33" t="n"/>
      <c r="C130" s="32" t="inlineStr">
        <is>
          <t>g</t>
        </is>
      </c>
      <c r="D130" s="34" t="n"/>
      <c r="E130" s="35">
        <f>IF(D130="",0,B130*D130)</f>
        <v/>
      </c>
      <c r="F130" s="30" t="n"/>
    </row>
    <row r="131">
      <c r="A131" s="36" t="n"/>
      <c r="B131" s="37" t="n"/>
      <c r="C131" s="32" t="inlineStr">
        <is>
          <t>g</t>
        </is>
      </c>
      <c r="D131" s="38" t="n"/>
      <c r="E131" s="38" t="n"/>
      <c r="F131" s="30" t="n"/>
    </row>
    <row r="132">
      <c r="A132" s="32" t="n"/>
      <c r="B132" s="39" t="n"/>
      <c r="C132" s="32" t="inlineStr">
        <is>
          <t>g</t>
        </is>
      </c>
      <c r="D132" s="34" t="n"/>
      <c r="E132" s="35">
        <f>IF(D132="",0,B132*D132)</f>
        <v/>
      </c>
      <c r="F132" s="30" t="n"/>
    </row>
    <row r="133">
      <c r="A133" s="40" t="n"/>
      <c r="B133" s="33" t="n"/>
      <c r="C133" s="40" t="n"/>
      <c r="D133" s="34" t="n"/>
      <c r="E133" s="35">
        <f>IF(OR(B133="",D133=""),0,B133*D133)</f>
        <v/>
      </c>
      <c r="F133" s="30" t="n"/>
    </row>
    <row r="134">
      <c r="A134" s="40" t="n"/>
      <c r="B134" s="33" t="n"/>
      <c r="C134" s="40" t="n"/>
      <c r="D134" s="34" t="n"/>
      <c r="E134" s="35">
        <f>IF(OR(B134="",D134=""),0,B134*D134)</f>
        <v/>
      </c>
      <c r="F134" s="30" t="n"/>
    </row>
    <row r="135">
      <c r="A135" s="40" t="n"/>
      <c r="B135" s="33" t="n"/>
      <c r="C135" s="40" t="n"/>
      <c r="D135" s="34" t="n"/>
      <c r="E135" s="35">
        <f>IF(OR(B135="",D135=""),0,B135*D135)</f>
        <v/>
      </c>
      <c r="F135" s="30" t="n"/>
    </row>
    <row r="136">
      <c r="A136" s="40" t="n"/>
      <c r="B136" s="33" t="n"/>
      <c r="C136" s="40" t="n"/>
      <c r="D136" s="34" t="n"/>
      <c r="E136" s="35">
        <f>IF(OR(B136="",D136=""),0,B136*D136)</f>
        <v/>
      </c>
      <c r="F136" s="30" t="n"/>
    </row>
    <row r="137">
      <c r="A137" s="40" t="n"/>
      <c r="B137" s="33" t="n"/>
      <c r="C137" s="40" t="n"/>
      <c r="D137" s="34" t="n"/>
      <c r="E137" s="35">
        <f>IF(OR(B137="",D137=""),0,B137*D137)</f>
        <v/>
      </c>
      <c r="F137" s="30" t="n"/>
    </row>
    <row r="138">
      <c r="A138" s="40" t="n"/>
      <c r="B138" s="33" t="n"/>
      <c r="C138" s="40" t="n"/>
      <c r="D138" s="34" t="n"/>
      <c r="E138" s="35">
        <f>IF(OR(B138="",D138=""),0,B138*D138)</f>
        <v/>
      </c>
      <c r="F138" s="30" t="n"/>
    </row>
    <row r="139">
      <c r="A139" s="40" t="n"/>
      <c r="B139" s="33" t="n"/>
      <c r="C139" s="40" t="n"/>
      <c r="D139" s="34" t="n"/>
      <c r="E139" s="35">
        <f>IF(OR(B139="",D139=""),0,B139*D139)</f>
        <v/>
      </c>
      <c r="F139" s="30" t="n"/>
    </row>
    <row r="140">
      <c r="A140" s="32" t="inlineStr">
        <is>
          <t>Costo Insumos Específicos (por kg carne)</t>
        </is>
      </c>
      <c r="B140" s="35">
        <f>E122</f>
        <v/>
      </c>
      <c r="C140" s="30" t="n"/>
      <c r="D140" s="30" t="n"/>
      <c r="E140" s="30" t="n"/>
      <c r="F140" s="30" t="n"/>
    </row>
    <row r="141">
      <c r="A141" s="32" t="inlineStr">
        <is>
          <t>Costos Generales por Lote (huevo, sal, etc.)</t>
        </is>
      </c>
      <c r="B141" s="35">
        <f>'Costos Generales'!E4</f>
        <v/>
      </c>
      <c r="C141" s="30" t="n"/>
      <c r="D141" s="30" t="n"/>
      <c r="E141" s="30" t="n"/>
      <c r="F141" s="30" t="n"/>
    </row>
    <row r="142">
      <c r="A142" s="41" t="inlineStr">
        <is>
          <t>Costo Total del Lote (subtotal)</t>
        </is>
      </c>
      <c r="B142" s="42">
        <f>B140+B141</f>
        <v/>
      </c>
      <c r="C142" s="30" t="n"/>
      <c r="D142" s="30" t="n"/>
      <c r="E142" s="30" t="n"/>
      <c r="F142" s="30" t="n"/>
    </row>
    <row r="143">
      <c r="A143" s="32" t="inlineStr">
        <is>
          <t>Peso final del lote rebozado (kg) [Ej: 1.35 a 1.40 kg por kg carne]</t>
        </is>
      </c>
      <c r="B143" s="43" t="n">
        <v>1.35</v>
      </c>
      <c r="C143" s="30" t="n"/>
      <c r="D143" s="30" t="n"/>
      <c r="E143" s="30" t="n"/>
      <c r="F143" s="30" t="n"/>
    </row>
    <row r="144">
      <c r="A144" s="32" t="inlineStr">
        <is>
          <t>Peso por milanesa (g)</t>
        </is>
      </c>
      <c r="B144" s="37" t="n">
        <v>180</v>
      </c>
      <c r="C144" s="30" t="n"/>
      <c r="D144" s="30" t="n"/>
      <c r="E144" s="30" t="n"/>
      <c r="F144" s="30" t="n"/>
    </row>
    <row r="145">
      <c r="A145" s="32" t="inlineStr">
        <is>
          <t>Unidades por lote</t>
        </is>
      </c>
      <c r="B145" s="44">
        <f>IF(OR(B143="",B144="",B144=0),0,(B143*1000)/B144)</f>
        <v/>
      </c>
      <c r="C145" s="30" t="n"/>
      <c r="D145" s="30" t="n"/>
      <c r="E145" s="30" t="n"/>
      <c r="F145" s="30" t="n"/>
    </row>
    <row r="146">
      <c r="A146" s="32" t="inlineStr">
        <is>
          <t>Costo del lote por unidad</t>
        </is>
      </c>
      <c r="B146" s="35">
        <f>IF(B145=0,0,B142/B145)</f>
        <v/>
      </c>
      <c r="C146" s="30" t="n"/>
      <c r="D146" s="30" t="n"/>
      <c r="E146" s="30" t="n"/>
      <c r="F146" s="30" t="n"/>
    </row>
    <row r="147">
      <c r="A147" s="45" t="inlineStr">
        <is>
          <t>COSTO FINAL POR MILANESA</t>
        </is>
      </c>
      <c r="B147" s="46">
        <f>B146/(1-'Costos Generales'!B39)</f>
        <v/>
      </c>
      <c r="C147" s="30" t="n"/>
      <c r="D147" s="30" t="n"/>
      <c r="E147" s="30" t="n"/>
      <c r="F147" s="30" t="n"/>
    </row>
    <row r="148">
      <c r="A148" s="30" t="n"/>
      <c r="B148" s="30" t="n"/>
      <c r="C148" s="30" t="n"/>
      <c r="D148" s="30" t="n"/>
      <c r="E148" s="30" t="n"/>
      <c r="F148" s="30" t="n"/>
    </row>
    <row r="149">
      <c r="A149" s="30" t="n"/>
      <c r="B149" s="30" t="n"/>
      <c r="C149" s="30" t="n"/>
      <c r="D149" s="30" t="n"/>
      <c r="E149" s="30" t="n"/>
      <c r="F149" s="30" t="n"/>
    </row>
  </sheetData>
  <mergeCells count="12">
    <mergeCell ref="A63:F63"/>
    <mergeCell ref="A121:F121"/>
    <mergeCell ref="A122:D122"/>
    <mergeCell ref="A6:D6"/>
    <mergeCell ref="A3:F3"/>
    <mergeCell ref="A35:D35"/>
    <mergeCell ref="A1:F1"/>
    <mergeCell ref="A5:F5"/>
    <mergeCell ref="A64:D64"/>
    <mergeCell ref="A34:F34"/>
    <mergeCell ref="A92:F92"/>
    <mergeCell ref="A93:D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9"/>
  <sheetViews>
    <sheetView topLeftCell="A100" workbookViewId="0">
      <selection activeCell="A100" sqref="A100"/>
    </sheetView>
  </sheetViews>
  <sheetFormatPr baseColWidth="10" defaultColWidth="9.140625" defaultRowHeight="15"/>
  <cols>
    <col width="42" customWidth="1" style="62" min="1" max="1"/>
    <col width="16" customWidth="1" style="62" min="2" max="2"/>
    <col width="13" customWidth="1" style="62" min="3" max="4"/>
    <col width="18" customWidth="1" style="62" min="5" max="5"/>
    <col width="13" customWidth="1" style="62" min="6" max="6"/>
  </cols>
  <sheetData>
    <row r="1" ht="18" customHeight="1" s="62">
      <c r="A1" s="64" t="inlineStr">
        <is>
          <t>Recetas — Cerdo</t>
        </is>
      </c>
    </row>
    <row r="2"/>
    <row r="3">
      <c r="A3" s="65" t="inlineStr">
        <is>
          <t>Todas las cantidades de cada receta están pensadas para procesar 1 kg de carne cruda.</t>
        </is>
      </c>
    </row>
    <row r="4"/>
    <row r="5" ht="15.75" customHeight="1" s="62">
      <c r="A5" s="61" t="inlineStr">
        <is>
          <t>Cerdo Tradicional</t>
        </is>
      </c>
    </row>
    <row r="6">
      <c r="A6" s="63" t="inlineStr">
        <is>
          <t>TOTAL INSUMOS ESPECÍFICOS (por kg de carne)</t>
        </is>
      </c>
      <c r="B6" s="59" t="n"/>
      <c r="C6" s="59" t="n"/>
      <c r="D6" s="60" t="n"/>
      <c r="E6" s="29">
        <f>SUM(E8:E23)</f>
        <v/>
      </c>
      <c r="F6" s="30" t="n"/>
    </row>
    <row r="7" ht="30" customHeight="1" s="62">
      <c r="A7" s="31" t="inlineStr">
        <is>
          <t>Insumo</t>
        </is>
      </c>
      <c r="B7" s="31" t="inlineStr">
        <is>
          <t>Cantidad</t>
        </is>
      </c>
      <c r="C7" s="31" t="inlineStr">
        <is>
          <t>Unidad</t>
        </is>
      </c>
      <c r="D7" s="31" t="inlineStr">
        <is>
          <t>Costo unitario</t>
        </is>
      </c>
      <c r="E7" s="31" t="inlineStr">
        <is>
          <t>Costo de la línea</t>
        </is>
      </c>
      <c r="F7" s="30" t="n"/>
    </row>
    <row r="8">
      <c r="A8" s="32" t="inlineStr">
        <is>
          <t>Oregano</t>
        </is>
      </c>
      <c r="B8" s="33" t="n">
        <v>2</v>
      </c>
      <c r="C8" s="32" t="inlineStr">
        <is>
          <t>g</t>
        </is>
      </c>
      <c r="D8" s="34" t="n">
        <v>12</v>
      </c>
      <c r="E8" s="35">
        <f>IF(OR(B8="",D8=""),0,B8*D8)</f>
        <v/>
      </c>
      <c r="F8" s="30" t="n"/>
    </row>
    <row r="9">
      <c r="A9" s="32" t="inlineStr">
        <is>
          <t>Mostaza</t>
        </is>
      </c>
      <c r="B9" s="33" t="n">
        <v>10</v>
      </c>
      <c r="C9" s="32" t="inlineStr">
        <is>
          <t>g</t>
        </is>
      </c>
      <c r="D9" s="34" t="n">
        <v>3.5</v>
      </c>
      <c r="E9" s="35">
        <f>IF(OR(B9="",D9=""),0,B9*D9)</f>
        <v/>
      </c>
      <c r="F9" s="30" t="n"/>
    </row>
    <row r="10">
      <c r="A10" s="36" t="inlineStr">
        <is>
          <t>Cerdo</t>
        </is>
      </c>
      <c r="B10" s="37" t="n">
        <v>1000</v>
      </c>
      <c r="C10" s="32" t="inlineStr">
        <is>
          <t>g</t>
        </is>
      </c>
      <c r="D10" s="38" t="n">
        <v>9</v>
      </c>
      <c r="E10" s="38">
        <f>IF(OR(B10="",D10=""),0,B10*D10)</f>
        <v/>
      </c>
      <c r="F10" s="30" t="n"/>
    </row>
    <row r="11">
      <c r="A11" s="32" t="inlineStr">
        <is>
          <t>Pan rayado</t>
        </is>
      </c>
      <c r="B11" s="39" t="n">
        <v>200</v>
      </c>
      <c r="C11" s="32" t="inlineStr">
        <is>
          <t>g</t>
        </is>
      </c>
      <c r="D11" s="34" t="n">
        <v>1.8</v>
      </c>
      <c r="E11" s="35">
        <f>IF(OR(B11="",D11=""),0,B11*D11)</f>
        <v/>
      </c>
      <c r="F11" s="30" t="n"/>
    </row>
    <row r="12">
      <c r="A12" s="40" t="inlineStr">
        <is>
          <t>Rebozador</t>
        </is>
      </c>
      <c r="B12" s="33" t="n">
        <v>50</v>
      </c>
      <c r="C12" s="40" t="inlineStr">
        <is>
          <t>g</t>
        </is>
      </c>
      <c r="D12" s="34" t="n">
        <v>2.5</v>
      </c>
      <c r="E12" s="35">
        <f>IF(OR(B12="",D12=""),0,B12*D12)</f>
        <v/>
      </c>
      <c r="F12" s="30" t="n"/>
    </row>
    <row r="13">
      <c r="A13" s="40" t="n"/>
      <c r="B13" s="33" t="n"/>
      <c r="C13" s="40" t="n"/>
      <c r="D13" s="34" t="n"/>
      <c r="E13" s="35">
        <f>IF(OR(B13="",D13=""),0,B13*D13)</f>
        <v/>
      </c>
      <c r="F13" s="30" t="n"/>
    </row>
    <row r="14">
      <c r="A14" s="40" t="n"/>
      <c r="B14" s="33" t="n"/>
      <c r="C14" s="40" t="n"/>
      <c r="D14" s="34" t="n"/>
      <c r="E14" s="35">
        <f>IF(OR(B14="",D14=""),0,B14*D14)</f>
        <v/>
      </c>
      <c r="F14" s="30" t="n"/>
    </row>
    <row r="15">
      <c r="A15" s="40" t="n"/>
      <c r="B15" s="33" t="n"/>
      <c r="C15" s="40" t="n"/>
      <c r="D15" s="34" t="n"/>
      <c r="E15" s="35">
        <f>IF(OR(B15="",D15=""),0,B15*D15)</f>
        <v/>
      </c>
      <c r="F15" s="30" t="n"/>
    </row>
    <row r="16">
      <c r="A16" s="40" t="n"/>
      <c r="B16" s="33" t="n"/>
      <c r="C16" s="40" t="n"/>
      <c r="D16" s="34" t="n"/>
      <c r="E16" s="35">
        <f>IF(OR(B16="",D16=""),0,B16*D16)</f>
        <v/>
      </c>
      <c r="F16" s="30" t="n"/>
    </row>
    <row r="17">
      <c r="A17" s="40" t="n"/>
      <c r="B17" s="33" t="n"/>
      <c r="C17" s="40" t="n"/>
      <c r="D17" s="34" t="n"/>
      <c r="E17" s="35">
        <f>IF(OR(B17="",D17=""),0,B17*D17)</f>
        <v/>
      </c>
      <c r="F17" s="30" t="n"/>
    </row>
    <row r="18">
      <c r="A18" s="40" t="n"/>
      <c r="B18" s="33" t="n"/>
      <c r="C18" s="40" t="n"/>
      <c r="D18" s="34" t="n"/>
      <c r="E18" s="35">
        <f>IF(OR(B18="",D18=""),0,B18*D18)</f>
        <v/>
      </c>
      <c r="F18" s="30" t="n"/>
    </row>
    <row r="19">
      <c r="A19" s="40" t="n"/>
      <c r="B19" s="33" t="n"/>
      <c r="C19" s="40" t="n"/>
      <c r="D19" s="34" t="n"/>
      <c r="E19" s="35">
        <f>IF(OR(B19="",D19=""),0,B19*D19)</f>
        <v/>
      </c>
      <c r="F19" s="30" t="n"/>
    </row>
    <row r="20">
      <c r="A20" s="40" t="n"/>
      <c r="B20" s="33" t="n"/>
      <c r="C20" s="40" t="n"/>
      <c r="D20" s="34" t="n"/>
      <c r="E20" s="35">
        <f>IF(OR(B20="",D20=""),0,B20*D20)</f>
        <v/>
      </c>
      <c r="F20" s="30" t="n"/>
    </row>
    <row r="21">
      <c r="A21" s="40" t="n"/>
      <c r="B21" s="33" t="n"/>
      <c r="C21" s="40" t="n"/>
      <c r="D21" s="34" t="n"/>
      <c r="E21" s="35">
        <f>IF(OR(B21="",D21=""),0,B21*D21)</f>
        <v/>
      </c>
      <c r="F21" s="30" t="n"/>
    </row>
    <row r="22">
      <c r="A22" s="40" t="n"/>
      <c r="B22" s="33" t="n"/>
      <c r="C22" s="40" t="n"/>
      <c r="D22" s="34" t="n"/>
      <c r="E22" s="35">
        <f>IF(OR(B22="",D22=""),0,B22*D22)</f>
        <v/>
      </c>
      <c r="F22" s="30" t="n"/>
    </row>
    <row r="23">
      <c r="A23" s="40" t="n"/>
      <c r="B23" s="33" t="n"/>
      <c r="C23" s="40" t="n"/>
      <c r="D23" s="34" t="n"/>
      <c r="E23" s="35">
        <f>IF(OR(B23="",D23=""),0,B23*D23)</f>
        <v/>
      </c>
      <c r="F23" s="30" t="n"/>
    </row>
    <row r="24">
      <c r="A24" s="32" t="inlineStr">
        <is>
          <t>Costo Insumos Específicos (por kg carne)</t>
        </is>
      </c>
      <c r="B24" s="35">
        <f>E6</f>
        <v/>
      </c>
      <c r="C24" s="30" t="n"/>
      <c r="D24" s="30" t="n"/>
      <c r="E24" s="30" t="n"/>
      <c r="F24" s="30" t="n"/>
    </row>
    <row r="25">
      <c r="A25" s="32" t="inlineStr">
        <is>
          <t>Costos Generales por Lote (huevo, sal, etc.)</t>
        </is>
      </c>
      <c r="B25" s="35">
        <f>'Costos Generales'!E4</f>
        <v/>
      </c>
      <c r="C25" s="30" t="n"/>
      <c r="D25" s="30" t="n"/>
      <c r="E25" s="30" t="n"/>
      <c r="F25" s="30" t="n"/>
    </row>
    <row r="26">
      <c r="A26" s="41" t="inlineStr">
        <is>
          <t>Costo Total del Lote (subtotal)</t>
        </is>
      </c>
      <c r="B26" s="42">
        <f>B24+B25</f>
        <v/>
      </c>
      <c r="C26" s="30" t="n"/>
      <c r="D26" s="30" t="n"/>
      <c r="E26" s="30" t="n"/>
      <c r="F26" s="30" t="n"/>
    </row>
    <row r="27">
      <c r="A27" s="32" t="inlineStr">
        <is>
          <t>Peso final del lote rebozado (kg) [Ej: 1.35 a 1.40 kg por kg carne]</t>
        </is>
      </c>
      <c r="B27" s="43" t="n">
        <v>1.35</v>
      </c>
      <c r="C27" s="30" t="n"/>
      <c r="D27" s="30" t="n"/>
      <c r="E27" s="30" t="n"/>
      <c r="F27" s="30" t="n"/>
    </row>
    <row r="28">
      <c r="A28" s="32" t="inlineStr">
        <is>
          <t>Peso por milanesa (g)</t>
        </is>
      </c>
      <c r="B28" s="37" t="n">
        <v>180</v>
      </c>
      <c r="C28" s="30" t="n"/>
      <c r="D28" s="30" t="n"/>
      <c r="E28" s="30" t="n"/>
      <c r="F28" s="30" t="n"/>
    </row>
    <row r="29">
      <c r="A29" s="32" t="inlineStr">
        <is>
          <t>Unidades por lote</t>
        </is>
      </c>
      <c r="B29" s="44">
        <f>IF(OR(B27="",B28="",B28=0),0,(B27*1000)/B28)</f>
        <v/>
      </c>
      <c r="C29" s="30" t="n"/>
      <c r="D29" s="30" t="n"/>
      <c r="E29" s="30" t="n"/>
      <c r="F29" s="30" t="n"/>
    </row>
    <row r="30">
      <c r="A30" s="32" t="inlineStr">
        <is>
          <t>Costo del lote por unidad</t>
        </is>
      </c>
      <c r="B30" s="35">
        <f>IF(B29=0,0,B26/B29)</f>
        <v/>
      </c>
      <c r="C30" s="30" t="n"/>
      <c r="D30" s="30" t="n"/>
      <c r="E30" s="30" t="n"/>
      <c r="F30" s="30" t="n"/>
    </row>
    <row r="31">
      <c r="A31" s="45" t="inlineStr">
        <is>
          <t>COSTO FINAL POR MILANESA</t>
        </is>
      </c>
      <c r="B31" s="46">
        <f>B30/(1-'Costos Generales'!B39)</f>
        <v/>
      </c>
      <c r="C31" s="30" t="n"/>
      <c r="D31" s="30" t="n"/>
      <c r="E31" s="30" t="n"/>
      <c r="F31" s="30" t="n"/>
    </row>
    <row r="32">
      <c r="A32" s="30" t="n"/>
      <c r="B32" s="30" t="n"/>
      <c r="C32" s="30" t="n"/>
      <c r="D32" s="30" t="n"/>
      <c r="E32" s="30" t="n"/>
      <c r="F32" s="30" t="n"/>
    </row>
    <row r="33">
      <c r="A33" s="30" t="n"/>
      <c r="B33" s="30" t="n"/>
      <c r="C33" s="30" t="n"/>
      <c r="D33" s="30" t="n"/>
      <c r="E33" s="30" t="n"/>
      <c r="F33" s="30" t="n"/>
    </row>
    <row r="34" ht="15.75" customHeight="1" s="62">
      <c r="A34" s="61" t="inlineStr">
        <is>
          <t>Cerdo Ahumado</t>
        </is>
      </c>
    </row>
    <row r="35">
      <c r="A35" s="63" t="inlineStr">
        <is>
          <t>TOTAL INSUMOS ESPECÍFICOS (por kg de carne)</t>
        </is>
      </c>
      <c r="B35" s="59" t="n"/>
      <c r="C35" s="59" t="n"/>
      <c r="D35" s="60" t="n"/>
      <c r="E35" s="29">
        <f>SUM(E37:E52)</f>
        <v/>
      </c>
      <c r="F35" s="30" t="n"/>
    </row>
    <row r="36" ht="30" customHeight="1" s="62">
      <c r="A36" s="31" t="inlineStr">
        <is>
          <t>Insumo</t>
        </is>
      </c>
      <c r="B36" s="31" t="inlineStr">
        <is>
          <t>Cantidad</t>
        </is>
      </c>
      <c r="C36" s="31" t="inlineStr">
        <is>
          <t>Unidad</t>
        </is>
      </c>
      <c r="D36" s="31" t="inlineStr">
        <is>
          <t>Costo unitario</t>
        </is>
      </c>
      <c r="E36" s="31" t="inlineStr">
        <is>
          <t>Costo de la línea</t>
        </is>
      </c>
      <c r="F36" s="30" t="n"/>
    </row>
    <row r="37">
      <c r="A37" s="32" t="inlineStr">
        <is>
          <t>Pimenton ahumado</t>
        </is>
      </c>
      <c r="B37" s="33" t="n">
        <v>8</v>
      </c>
      <c r="C37" s="32" t="inlineStr">
        <is>
          <t>g</t>
        </is>
      </c>
      <c r="D37" s="34" t="n">
        <v>12</v>
      </c>
      <c r="E37" s="35">
        <f>IF(OR(B37="",D37=""),0,B37*D37)</f>
        <v/>
      </c>
      <c r="F37" s="30" t="n"/>
    </row>
    <row r="38">
      <c r="A38" s="32" t="inlineStr">
        <is>
          <t>Ajo en polvo</t>
        </is>
      </c>
      <c r="B38" s="33" t="n">
        <v>4</v>
      </c>
      <c r="C38" s="32" t="inlineStr">
        <is>
          <t>g</t>
        </is>
      </c>
      <c r="D38" s="34" t="n">
        <v>12</v>
      </c>
      <c r="E38" s="35">
        <f>IF(OR(B38="",D38=""),0,B38*D38)</f>
        <v/>
      </c>
      <c r="F38" s="30" t="n"/>
    </row>
    <row r="39">
      <c r="A39" s="32" t="inlineStr">
        <is>
          <t>Perejil</t>
        </is>
      </c>
      <c r="B39" s="33" t="n">
        <v>2</v>
      </c>
      <c r="C39" s="32" t="inlineStr">
        <is>
          <t>g</t>
        </is>
      </c>
      <c r="D39" s="34" t="n">
        <v>12</v>
      </c>
      <c r="E39" s="35">
        <f>IF(OR(B39="",D39=""),0,B39*D39)</f>
        <v/>
      </c>
      <c r="F39" s="30" t="n"/>
    </row>
    <row r="40">
      <c r="A40" s="32" t="inlineStr">
        <is>
          <t xml:space="preserve">Pimienta </t>
        </is>
      </c>
      <c r="B40" s="33" t="n">
        <v>2</v>
      </c>
      <c r="C40" s="32" t="inlineStr">
        <is>
          <t>g</t>
        </is>
      </c>
      <c r="D40" s="34" t="n">
        <v>12</v>
      </c>
      <c r="E40" s="35">
        <f>IF(OR(B40="",D40=""),0,B40*D40)</f>
        <v/>
      </c>
      <c r="F40" s="30" t="n"/>
    </row>
    <row r="41">
      <c r="A41" s="36" t="inlineStr">
        <is>
          <t>Mostaza</t>
        </is>
      </c>
      <c r="B41" s="37" t="n">
        <v>10</v>
      </c>
      <c r="C41" s="32" t="inlineStr">
        <is>
          <t>g</t>
        </is>
      </c>
      <c r="D41" s="38" t="n">
        <v>3.5</v>
      </c>
      <c r="E41" s="38">
        <f>IF(OR(B41="",D41=""),0,B41*D41)</f>
        <v/>
      </c>
      <c r="F41" s="30" t="n"/>
    </row>
    <row r="42">
      <c r="A42" s="32" t="inlineStr">
        <is>
          <t>Cerdo</t>
        </is>
      </c>
      <c r="B42" s="39" t="n">
        <v>1000</v>
      </c>
      <c r="C42" s="32" t="inlineStr">
        <is>
          <t>g</t>
        </is>
      </c>
      <c r="D42" s="34" t="n">
        <v>9</v>
      </c>
      <c r="E42" s="35">
        <f>IF(OR(B42="",D42=""),0,B42*D42)</f>
        <v/>
      </c>
      <c r="F42" s="30" t="n"/>
    </row>
    <row r="43">
      <c r="A43" s="32" t="inlineStr">
        <is>
          <t>Pan rayado</t>
        </is>
      </c>
      <c r="B43" s="39" t="n">
        <v>200</v>
      </c>
      <c r="C43" s="32" t="inlineStr">
        <is>
          <t>g</t>
        </is>
      </c>
      <c r="D43" s="34" t="n">
        <v>1.8</v>
      </c>
      <c r="E43" s="35">
        <f>IF(OR(B43="",D43=""),0,B43*D43)</f>
        <v/>
      </c>
      <c r="F43" s="30" t="n"/>
    </row>
    <row r="44">
      <c r="A44" s="40" t="inlineStr">
        <is>
          <t>Rebozador</t>
        </is>
      </c>
      <c r="B44" s="33" t="n">
        <v>50</v>
      </c>
      <c r="C44" s="40" t="inlineStr">
        <is>
          <t>g</t>
        </is>
      </c>
      <c r="D44" s="34" t="n">
        <v>2.5</v>
      </c>
      <c r="E44" s="35">
        <f>IF(OR(B44="",D44=""),0,B44*D44)</f>
        <v/>
      </c>
      <c r="F44" s="30" t="n"/>
    </row>
    <row r="45">
      <c r="A45" s="40" t="n"/>
      <c r="B45" s="33" t="n"/>
      <c r="C45" s="40" t="n"/>
      <c r="D45" s="34" t="n"/>
      <c r="E45" s="35">
        <f>IF(OR(B45="",D45=""),0,B45*D45)</f>
        <v/>
      </c>
      <c r="F45" s="30" t="n"/>
    </row>
    <row r="46">
      <c r="A46" s="40" t="n"/>
      <c r="B46" s="33" t="n"/>
      <c r="C46" s="40" t="n"/>
      <c r="D46" s="34" t="n"/>
      <c r="E46" s="35">
        <f>IF(OR(B46="",D46=""),0,B46*D46)</f>
        <v/>
      </c>
      <c r="F46" s="30" t="n"/>
    </row>
    <row r="47">
      <c r="A47" s="40" t="n"/>
      <c r="B47" s="33" t="n"/>
      <c r="C47" s="40" t="n"/>
      <c r="D47" s="34" t="n"/>
      <c r="E47" s="35">
        <f>IF(OR(B47="",D47=""),0,B47*D47)</f>
        <v/>
      </c>
      <c r="F47" s="30" t="n"/>
    </row>
    <row r="48">
      <c r="A48" s="40" t="n"/>
      <c r="B48" s="33" t="n"/>
      <c r="C48" s="40" t="n"/>
      <c r="D48" s="34" t="n"/>
      <c r="E48" s="35">
        <f>IF(OR(B48="",D48=""),0,B48*D48)</f>
        <v/>
      </c>
      <c r="F48" s="30" t="n"/>
    </row>
    <row r="49">
      <c r="A49" s="40" t="n"/>
      <c r="B49" s="33" t="n"/>
      <c r="C49" s="40" t="n"/>
      <c r="D49" s="34" t="n"/>
      <c r="E49" s="35">
        <f>IF(OR(B49="",D49=""),0,B49*D49)</f>
        <v/>
      </c>
      <c r="F49" s="30" t="n"/>
    </row>
    <row r="50">
      <c r="A50" s="40" t="n"/>
      <c r="B50" s="33" t="n"/>
      <c r="C50" s="40" t="n"/>
      <c r="D50" s="34" t="n"/>
      <c r="E50" s="35">
        <f>IF(OR(B50="",D50=""),0,B50*D50)</f>
        <v/>
      </c>
      <c r="F50" s="30" t="n"/>
    </row>
    <row r="51">
      <c r="A51" s="40" t="n"/>
      <c r="B51" s="33" t="n"/>
      <c r="C51" s="40" t="n"/>
      <c r="D51" s="34" t="n"/>
      <c r="E51" s="35">
        <f>IF(OR(B51="",D51=""),0,B51*D51)</f>
        <v/>
      </c>
      <c r="F51" s="30" t="n"/>
    </row>
    <row r="52">
      <c r="A52" s="40" t="n"/>
      <c r="B52" s="33" t="n"/>
      <c r="C52" s="40" t="n"/>
      <c r="D52" s="34" t="n"/>
      <c r="E52" s="35">
        <f>IF(OR(B52="",D52=""),0,B52*D52)</f>
        <v/>
      </c>
      <c r="F52" s="30" t="n"/>
    </row>
    <row r="53">
      <c r="A53" s="32" t="inlineStr">
        <is>
          <t>Costo Insumos Específicos (por kg carne)</t>
        </is>
      </c>
      <c r="B53" s="35">
        <f>E35</f>
        <v/>
      </c>
      <c r="C53" s="30" t="n"/>
      <c r="D53" s="30" t="n"/>
      <c r="E53" s="30" t="n"/>
      <c r="F53" s="30" t="n"/>
    </row>
    <row r="54">
      <c r="A54" s="32" t="inlineStr">
        <is>
          <t>Costos Generales por Lote (huevo, sal, etc.)</t>
        </is>
      </c>
      <c r="B54" s="35">
        <f>'Costos Generales'!E4</f>
        <v/>
      </c>
      <c r="C54" s="30" t="n"/>
      <c r="D54" s="30" t="n"/>
      <c r="E54" s="30" t="n"/>
      <c r="F54" s="30" t="n"/>
    </row>
    <row r="55">
      <c r="A55" s="41" t="inlineStr">
        <is>
          <t>Costo Total del Lote (subtotal)</t>
        </is>
      </c>
      <c r="B55" s="42">
        <f>B53+B54</f>
        <v/>
      </c>
      <c r="C55" s="30" t="n"/>
      <c r="D55" s="30" t="n"/>
      <c r="E55" s="30" t="n"/>
      <c r="F55" s="30" t="n"/>
    </row>
    <row r="56">
      <c r="A56" s="32" t="inlineStr">
        <is>
          <t>Peso final del lote rebozado (kg) [Ej: 1.35 a 1.40 kg por kg carne]</t>
        </is>
      </c>
      <c r="B56" s="43" t="n">
        <v>1.35</v>
      </c>
      <c r="C56" s="30" t="n"/>
      <c r="D56" s="30" t="n"/>
      <c r="E56" s="30" t="n"/>
      <c r="F56" s="30" t="n"/>
    </row>
    <row r="57">
      <c r="A57" s="32" t="inlineStr">
        <is>
          <t>Peso por milanesa (g)</t>
        </is>
      </c>
      <c r="B57" s="37" t="n">
        <v>180</v>
      </c>
      <c r="C57" s="30" t="n"/>
      <c r="D57" s="30" t="n"/>
      <c r="E57" s="30" t="n"/>
      <c r="F57" s="30" t="n"/>
    </row>
    <row r="58">
      <c r="A58" s="32" t="inlineStr">
        <is>
          <t>Unidades por lote</t>
        </is>
      </c>
      <c r="B58" s="44">
        <f>IF(OR(B56="",B57="",B57=0),0,(B56*1000)/B57)</f>
        <v/>
      </c>
      <c r="C58" s="30" t="n"/>
      <c r="D58" s="30" t="n"/>
      <c r="E58" s="30" t="n"/>
      <c r="F58" s="30" t="n"/>
    </row>
    <row r="59">
      <c r="A59" s="32" t="inlineStr">
        <is>
          <t>Costo del lote por unidad</t>
        </is>
      </c>
      <c r="B59" s="35">
        <f>IF(B58=0,0,B55/B58)</f>
        <v/>
      </c>
      <c r="C59" s="30" t="n"/>
      <c r="D59" s="30" t="n"/>
      <c r="E59" s="30" t="n"/>
      <c r="F59" s="30" t="n"/>
    </row>
    <row r="60">
      <c r="A60" s="45" t="inlineStr">
        <is>
          <t>COSTO FINAL POR MILANESA</t>
        </is>
      </c>
      <c r="B60" s="46">
        <f>B59/(1-'Costos Generales'!B39)</f>
        <v/>
      </c>
      <c r="C60" s="30" t="n"/>
      <c r="D60" s="30" t="n"/>
      <c r="E60" s="30" t="n"/>
      <c r="F60" s="30" t="n"/>
    </row>
    <row r="61">
      <c r="A61" s="30" t="n"/>
      <c r="B61" s="30" t="n"/>
      <c r="C61" s="30" t="n"/>
      <c r="D61" s="30" t="n"/>
      <c r="E61" s="30" t="n"/>
      <c r="F61" s="30" t="n"/>
    </row>
    <row r="62">
      <c r="A62" s="30" t="n"/>
      <c r="B62" s="30" t="n"/>
      <c r="C62" s="30" t="n"/>
      <c r="D62" s="30" t="n"/>
      <c r="E62" s="30" t="n"/>
      <c r="F62" s="30" t="n"/>
    </row>
    <row r="63" ht="15.75" customHeight="1" s="62">
      <c r="A63" s="61" t="inlineStr">
        <is>
          <t>Cerdo Fugazzeta</t>
        </is>
      </c>
    </row>
    <row r="64">
      <c r="A64" s="63" t="inlineStr">
        <is>
          <t>TOTAL INSUMOS ESPECÍFICOS (por kg de carne)</t>
        </is>
      </c>
      <c r="B64" s="59" t="n"/>
      <c r="C64" s="59" t="n"/>
      <c r="D64" s="60" t="n"/>
      <c r="E64" s="29">
        <f>SUM(E66:E81)</f>
        <v/>
      </c>
      <c r="F64" s="30" t="n"/>
    </row>
    <row r="65" ht="30" customHeight="1" s="62">
      <c r="A65" s="31" t="inlineStr">
        <is>
          <t>Insumo</t>
        </is>
      </c>
      <c r="B65" s="31" t="inlineStr">
        <is>
          <t>Cantidad</t>
        </is>
      </c>
      <c r="C65" s="31" t="inlineStr">
        <is>
          <t>Unidad</t>
        </is>
      </c>
      <c r="D65" s="31" t="inlineStr">
        <is>
          <t>Costo unitario</t>
        </is>
      </c>
      <c r="E65" s="31" t="inlineStr">
        <is>
          <t>Costo de la línea</t>
        </is>
      </c>
      <c r="F65" s="30" t="n"/>
    </row>
    <row r="66">
      <c r="A66" s="32" t="inlineStr">
        <is>
          <t>Oregano</t>
        </is>
      </c>
      <c r="B66" s="33" t="n">
        <v>1</v>
      </c>
      <c r="C66" s="32" t="inlineStr">
        <is>
          <t>g</t>
        </is>
      </c>
      <c r="D66" s="34" t="n">
        <v>12</v>
      </c>
      <c r="E66" s="35">
        <f>IF(OR(B66="",D66=""),0,B66*D66)</f>
        <v/>
      </c>
      <c r="F66" s="30" t="n"/>
    </row>
    <row r="67">
      <c r="A67" s="32" t="inlineStr">
        <is>
          <t>Pimienta</t>
        </is>
      </c>
      <c r="B67" s="33" t="n">
        <v>1</v>
      </c>
      <c r="C67" s="32" t="inlineStr">
        <is>
          <t>g</t>
        </is>
      </c>
      <c r="D67" s="34" t="n">
        <v>12</v>
      </c>
      <c r="E67" s="35">
        <f>IF(OR(B67="",D67=""),0,B67*D67)</f>
        <v/>
      </c>
      <c r="F67" s="30" t="n"/>
    </row>
    <row r="68">
      <c r="A68" s="32" t="inlineStr">
        <is>
          <t>Cebolla</t>
        </is>
      </c>
      <c r="B68" s="33" t="n">
        <v>150</v>
      </c>
      <c r="C68" s="32" t="inlineStr">
        <is>
          <t>g</t>
        </is>
      </c>
      <c r="D68" s="34" t="n">
        <v>1.2</v>
      </c>
      <c r="E68" s="35">
        <f>IF(OR(B68="",D68=""),0,B68*D68)</f>
        <v/>
      </c>
      <c r="F68" s="30" t="n"/>
    </row>
    <row r="69">
      <c r="A69" s="32" t="inlineStr">
        <is>
          <t>Pan rayado</t>
        </is>
      </c>
      <c r="B69" s="33" t="n">
        <v>200</v>
      </c>
      <c r="C69" s="32" t="inlineStr">
        <is>
          <t>g</t>
        </is>
      </c>
      <c r="D69" s="34" t="n">
        <v>1.8</v>
      </c>
      <c r="E69" s="35">
        <f>IF(OR(B69="",D69=""),0,B69*D69)</f>
        <v/>
      </c>
      <c r="F69" s="30" t="n"/>
    </row>
    <row r="70">
      <c r="A70" s="32" t="inlineStr">
        <is>
          <t>Rebozador</t>
        </is>
      </c>
      <c r="B70" s="33" t="n">
        <v>50</v>
      </c>
      <c r="C70" s="32" t="inlineStr">
        <is>
          <t>g</t>
        </is>
      </c>
      <c r="D70" s="34" t="n">
        <v>2.5</v>
      </c>
      <c r="E70" s="35">
        <f>IF(OR(B70="",D70=""),0,B70*D70)</f>
        <v/>
      </c>
      <c r="F70" s="30" t="n"/>
    </row>
    <row r="71">
      <c r="A71" s="32" t="inlineStr">
        <is>
          <t>Cerdo</t>
        </is>
      </c>
      <c r="B71" s="33" t="n">
        <v>1000</v>
      </c>
      <c r="C71" s="32" t="inlineStr">
        <is>
          <t>g</t>
        </is>
      </c>
      <c r="D71" s="34" t="n">
        <v>9</v>
      </c>
      <c r="E71" s="35">
        <f>IF(OR(B71="",D71=""),0,B71*D71)</f>
        <v/>
      </c>
      <c r="F71" s="30" t="n"/>
    </row>
    <row r="72">
      <c r="A72" s="36" t="n"/>
      <c r="B72" s="37" t="n"/>
      <c r="C72" s="32" t="inlineStr">
        <is>
          <t>g</t>
        </is>
      </c>
      <c r="D72" s="38" t="n"/>
      <c r="E72" s="38" t="n"/>
      <c r="F72" s="30" t="n"/>
    </row>
    <row r="73">
      <c r="A73" s="32" t="n"/>
      <c r="B73" s="39" t="n"/>
      <c r="C73" s="32" t="inlineStr">
        <is>
          <t>g</t>
        </is>
      </c>
      <c r="D73" s="34" t="n"/>
      <c r="E73" s="35">
        <f>IF(D73="",0,B73*D73)</f>
        <v/>
      </c>
      <c r="F73" s="30" t="n"/>
    </row>
    <row r="74">
      <c r="A74" s="32" t="n"/>
      <c r="B74" s="39" t="n"/>
      <c r="C74" s="32" t="inlineStr">
        <is>
          <t>g</t>
        </is>
      </c>
      <c r="D74" s="34" t="n"/>
      <c r="E74" s="35">
        <f>IF(D74="",0,B74*D74)</f>
        <v/>
      </c>
      <c r="F74" s="30" t="n"/>
    </row>
    <row r="75">
      <c r="A75" s="40" t="n"/>
      <c r="B75" s="33" t="n"/>
      <c r="C75" s="40" t="n"/>
      <c r="D75" s="34" t="n"/>
      <c r="E75" s="35">
        <f>IF(OR(B75="",D75=""),0,B75*D75)</f>
        <v/>
      </c>
      <c r="F75" s="30" t="n"/>
    </row>
    <row r="76">
      <c r="A76" s="40" t="n"/>
      <c r="B76" s="33" t="n"/>
      <c r="C76" s="40" t="n"/>
      <c r="D76" s="34" t="n"/>
      <c r="E76" s="35">
        <f>IF(OR(B76="",D76=""),0,B76*D76)</f>
        <v/>
      </c>
      <c r="F76" s="30" t="n"/>
    </row>
    <row r="77">
      <c r="A77" s="40" t="n"/>
      <c r="B77" s="33" t="n"/>
      <c r="C77" s="40" t="n"/>
      <c r="D77" s="34" t="n"/>
      <c r="E77" s="35">
        <f>IF(OR(B77="",D77=""),0,B77*D77)</f>
        <v/>
      </c>
      <c r="F77" s="30" t="n"/>
    </row>
    <row r="78">
      <c r="A78" s="40" t="n"/>
      <c r="B78" s="33" t="n"/>
      <c r="C78" s="40" t="n"/>
      <c r="D78" s="34" t="n"/>
      <c r="E78" s="35">
        <f>IF(OR(B78="",D78=""),0,B78*D78)</f>
        <v/>
      </c>
      <c r="F78" s="30" t="n"/>
    </row>
    <row r="79">
      <c r="A79" s="40" t="n"/>
      <c r="B79" s="33" t="n"/>
      <c r="C79" s="40" t="n"/>
      <c r="D79" s="34" t="n"/>
      <c r="E79" s="35">
        <f>IF(OR(B79="",D79=""),0,B79*D79)</f>
        <v/>
      </c>
      <c r="F79" s="30" t="n"/>
    </row>
    <row r="80">
      <c r="A80" s="40" t="n"/>
      <c r="B80" s="33" t="n"/>
      <c r="C80" s="40" t="n"/>
      <c r="D80" s="34" t="n"/>
      <c r="E80" s="35">
        <f>IF(OR(B80="",D80=""),0,B80*D80)</f>
        <v/>
      </c>
      <c r="F80" s="30" t="n"/>
    </row>
    <row r="81">
      <c r="A81" s="40" t="n"/>
      <c r="B81" s="33" t="n"/>
      <c r="C81" s="40" t="n"/>
      <c r="D81" s="34" t="n"/>
      <c r="E81" s="35">
        <f>IF(OR(B81="",D81=""),0,B81*D81)</f>
        <v/>
      </c>
      <c r="F81" s="30" t="n"/>
    </row>
    <row r="82">
      <c r="A82" s="32" t="inlineStr">
        <is>
          <t>Costo Insumos Específicos (por kg carne)</t>
        </is>
      </c>
      <c r="B82" s="35">
        <f>E64</f>
        <v/>
      </c>
      <c r="C82" s="30" t="n"/>
      <c r="D82" s="30" t="n"/>
      <c r="E82" s="30" t="n"/>
      <c r="F82" s="30" t="n"/>
    </row>
    <row r="83">
      <c r="A83" s="32" t="inlineStr">
        <is>
          <t>Costos Generales por Lote (huevo, sal, etc.)</t>
        </is>
      </c>
      <c r="B83" s="35">
        <f>'Costos Generales'!E4</f>
        <v/>
      </c>
      <c r="C83" s="30" t="n"/>
      <c r="D83" s="30" t="n"/>
      <c r="E83" s="30" t="n"/>
      <c r="F83" s="30" t="n"/>
    </row>
    <row r="84">
      <c r="A84" s="41" t="inlineStr">
        <is>
          <t>Costo Total del Lote (subtotal)</t>
        </is>
      </c>
      <c r="B84" s="42">
        <f>B82+B83</f>
        <v/>
      </c>
      <c r="C84" s="30" t="n"/>
      <c r="D84" s="30" t="n"/>
      <c r="E84" s="30" t="n"/>
      <c r="F84" s="30" t="n"/>
    </row>
    <row r="85">
      <c r="A85" s="32" t="inlineStr">
        <is>
          <t>Peso final del lote rebozado (kg) [Ej: 1.35 a 1.40 kg por kg carne]</t>
        </is>
      </c>
      <c r="B85" s="43" t="n">
        <v>1.35</v>
      </c>
      <c r="C85" s="30" t="n"/>
      <c r="D85" s="30" t="n"/>
      <c r="E85" s="30" t="n"/>
      <c r="F85" s="30" t="n"/>
    </row>
    <row r="86">
      <c r="A86" s="32" t="inlineStr">
        <is>
          <t>Peso por milanesa (g)</t>
        </is>
      </c>
      <c r="B86" s="37" t="n">
        <v>180</v>
      </c>
      <c r="C86" s="30" t="n"/>
      <c r="D86" s="30" t="n"/>
      <c r="E86" s="30" t="n"/>
      <c r="F86" s="30" t="n"/>
    </row>
    <row r="87">
      <c r="A87" s="32" t="inlineStr">
        <is>
          <t>Unidades por lote</t>
        </is>
      </c>
      <c r="B87" s="44">
        <f>IF(OR(B85="",B86="",B86=0),0,(B85*1000)/B86)</f>
        <v/>
      </c>
      <c r="C87" s="30" t="n"/>
      <c r="D87" s="30" t="n"/>
      <c r="E87" s="30" t="n"/>
      <c r="F87" s="30" t="n"/>
    </row>
    <row r="88">
      <c r="A88" s="32" t="inlineStr">
        <is>
          <t>Costo del lote por unidad</t>
        </is>
      </c>
      <c r="B88" s="35">
        <f>IF(B87=0,0,B84/B87)</f>
        <v/>
      </c>
      <c r="C88" s="30" t="n"/>
      <c r="D88" s="30" t="n"/>
      <c r="E88" s="30" t="n"/>
      <c r="F88" s="30" t="n"/>
    </row>
    <row r="89">
      <c r="A89" s="45" t="inlineStr">
        <is>
          <t>COSTO FINAL POR MILANESA</t>
        </is>
      </c>
      <c r="B89" s="46">
        <f>B88/(1-'Costos Generales'!B39)</f>
        <v/>
      </c>
      <c r="C89" s="30" t="n"/>
      <c r="D89" s="30" t="n"/>
      <c r="E89" s="30" t="n"/>
      <c r="F89" s="30" t="n"/>
    </row>
    <row r="90">
      <c r="A90" s="30" t="n"/>
      <c r="B90" s="30" t="n"/>
      <c r="C90" s="30" t="n"/>
      <c r="D90" s="30" t="n"/>
      <c r="E90" s="30" t="n"/>
      <c r="F90" s="30" t="n"/>
    </row>
    <row r="91">
      <c r="A91" s="30" t="n"/>
      <c r="B91" s="30" t="n"/>
      <c r="C91" s="30" t="n"/>
      <c r="D91" s="30" t="n"/>
      <c r="E91" s="30" t="n"/>
      <c r="F91" s="30" t="n"/>
    </row>
    <row r="92" ht="15.75" customHeight="1" s="62">
      <c r="A92" s="61" t="inlineStr">
        <is>
          <t>Cerdo Mostaza y Miel</t>
        </is>
      </c>
    </row>
    <row r="93">
      <c r="A93" s="63" t="inlineStr">
        <is>
          <t>TOTAL INSUMOS ESPECÍFICOS (por kg de carne)</t>
        </is>
      </c>
      <c r="B93" s="59" t="n"/>
      <c r="C93" s="59" t="n"/>
      <c r="D93" s="60" t="n"/>
      <c r="E93" s="29">
        <f>SUM(E95:E110)</f>
        <v/>
      </c>
      <c r="F93" s="30" t="n"/>
    </row>
    <row r="94" ht="30" customHeight="1" s="62">
      <c r="A94" s="31" t="inlineStr">
        <is>
          <t>Insumo</t>
        </is>
      </c>
      <c r="B94" s="31" t="inlineStr">
        <is>
          <t>Cantidad</t>
        </is>
      </c>
      <c r="C94" s="31" t="inlineStr">
        <is>
          <t>Unidad</t>
        </is>
      </c>
      <c r="D94" s="31" t="inlineStr">
        <is>
          <t>Costo unitario</t>
        </is>
      </c>
      <c r="E94" s="31" t="inlineStr">
        <is>
          <t>Costo de la línea</t>
        </is>
      </c>
      <c r="F94" s="30" t="n"/>
    </row>
    <row r="95">
      <c r="A95" s="32" t="inlineStr">
        <is>
          <t>Oregano</t>
        </is>
      </c>
      <c r="B95" s="33" t="n">
        <v>2</v>
      </c>
      <c r="C95" s="32" t="inlineStr">
        <is>
          <t>g</t>
        </is>
      </c>
      <c r="D95" s="34" t="n">
        <v>12</v>
      </c>
      <c r="E95" s="35">
        <f>IF(OR(B95="",D95=""),0,B95*D95)</f>
        <v/>
      </c>
      <c r="F95" s="30" t="n"/>
    </row>
    <row r="96">
      <c r="A96" s="36" t="inlineStr">
        <is>
          <t>Mostaza</t>
        </is>
      </c>
      <c r="B96" s="37" t="n">
        <v>20</v>
      </c>
      <c r="C96" s="32" t="inlineStr">
        <is>
          <t>g</t>
        </is>
      </c>
      <c r="D96" s="38" t="n">
        <v>3.5</v>
      </c>
      <c r="E96" s="38">
        <f>IF(OR(B96="",D96=""),0,B96*D96)</f>
        <v/>
      </c>
      <c r="F96" s="30" t="n"/>
    </row>
    <row r="97">
      <c r="A97" s="32" t="inlineStr">
        <is>
          <t>Miel</t>
        </is>
      </c>
      <c r="B97" s="39" t="n">
        <v>60</v>
      </c>
      <c r="C97" s="32" t="inlineStr">
        <is>
          <t>g</t>
        </is>
      </c>
      <c r="D97" s="34" t="n">
        <v>6</v>
      </c>
      <c r="E97" s="35">
        <f>IF(OR(B97="",D97=""),0,B97*D97)</f>
        <v/>
      </c>
      <c r="F97" s="30" t="n"/>
    </row>
    <row r="98">
      <c r="A98" s="36" t="inlineStr">
        <is>
          <t>Cerdo</t>
        </is>
      </c>
      <c r="B98" s="37" t="n">
        <v>1000</v>
      </c>
      <c r="C98" s="32" t="inlineStr">
        <is>
          <t>g</t>
        </is>
      </c>
      <c r="D98" s="38" t="n">
        <v>9</v>
      </c>
      <c r="E98" s="38">
        <f>IF(OR(B98="",D98=""),0,B98*D98)</f>
        <v/>
      </c>
      <c r="F98" s="30" t="n"/>
    </row>
    <row r="99">
      <c r="A99" s="32" t="inlineStr">
        <is>
          <t>Pan rayado</t>
        </is>
      </c>
      <c r="B99" s="39" t="n">
        <v>200</v>
      </c>
      <c r="C99" s="32" t="inlineStr">
        <is>
          <t>g</t>
        </is>
      </c>
      <c r="D99" s="34" t="n">
        <v>1.8</v>
      </c>
      <c r="E99" s="35">
        <f>IF(OR(B99="",D99=""),0,B99*D99)</f>
        <v/>
      </c>
      <c r="F99" s="30" t="n"/>
    </row>
    <row r="100">
      <c r="A100" s="32" t="inlineStr">
        <is>
          <t>Rebozador</t>
        </is>
      </c>
      <c r="B100" s="39" t="n">
        <v>50</v>
      </c>
      <c r="C100" s="32" t="inlineStr">
        <is>
          <t>g</t>
        </is>
      </c>
      <c r="D100" s="34" t="n">
        <v>2.5</v>
      </c>
      <c r="E100" s="35">
        <f>IF(OR(B100="",D100=""),0,B100*D100)</f>
        <v/>
      </c>
      <c r="F100" s="30" t="n"/>
    </row>
    <row r="101">
      <c r="A101" s="40" t="n"/>
      <c r="B101" s="33" t="n"/>
      <c r="C101" s="40" t="n"/>
      <c r="D101" s="34" t="n"/>
      <c r="E101" s="35">
        <f>IF(OR(B101="",D101=""),0,B101*D101)</f>
        <v/>
      </c>
      <c r="F101" s="30" t="n"/>
    </row>
    <row r="102">
      <c r="A102" s="40" t="n"/>
      <c r="B102" s="33" t="n"/>
      <c r="C102" s="40" t="n"/>
      <c r="D102" s="34" t="n"/>
      <c r="E102" s="35">
        <f>IF(OR(B102="",D102=""),0,B102*D102)</f>
        <v/>
      </c>
      <c r="F102" s="30" t="n"/>
    </row>
    <row r="103">
      <c r="A103" s="40" t="n"/>
      <c r="B103" s="33" t="n"/>
      <c r="C103" s="40" t="n"/>
      <c r="D103" s="34" t="n"/>
      <c r="E103" s="35">
        <f>IF(OR(B103="",D103=""),0,B103*D103)</f>
        <v/>
      </c>
      <c r="F103" s="30" t="n"/>
    </row>
    <row r="104">
      <c r="A104" s="40" t="n"/>
      <c r="B104" s="33" t="n"/>
      <c r="C104" s="40" t="n"/>
      <c r="D104" s="34" t="n"/>
      <c r="E104" s="35">
        <f>IF(OR(B104="",D104=""),0,B104*D104)</f>
        <v/>
      </c>
      <c r="F104" s="30" t="n"/>
    </row>
    <row r="105">
      <c r="A105" s="40" t="n"/>
      <c r="B105" s="33" t="n"/>
      <c r="C105" s="40" t="n"/>
      <c r="D105" s="34" t="n"/>
      <c r="E105" s="35">
        <f>IF(OR(B105="",D105=""),0,B105*D105)</f>
        <v/>
      </c>
      <c r="F105" s="30" t="n"/>
    </row>
    <row r="106">
      <c r="A106" s="40" t="n"/>
      <c r="B106" s="33" t="n"/>
      <c r="C106" s="40" t="n"/>
      <c r="D106" s="34" t="n"/>
      <c r="E106" s="35">
        <f>IF(OR(B106="",D106=""),0,B106*D106)</f>
        <v/>
      </c>
      <c r="F106" s="30" t="n"/>
    </row>
    <row r="107">
      <c r="A107" s="40" t="n"/>
      <c r="B107" s="33" t="n"/>
      <c r="C107" s="40" t="n"/>
      <c r="D107" s="34" t="n"/>
      <c r="E107" s="35">
        <f>IF(OR(B107="",D107=""),0,B107*D107)</f>
        <v/>
      </c>
      <c r="F107" s="30" t="n"/>
    </row>
    <row r="108">
      <c r="A108" s="40" t="n"/>
      <c r="B108" s="33" t="n"/>
      <c r="C108" s="40" t="n"/>
      <c r="D108" s="34" t="n"/>
      <c r="E108" s="35">
        <f>IF(OR(B108="",D108=""),0,B108*D108)</f>
        <v/>
      </c>
      <c r="F108" s="30" t="n"/>
    </row>
    <row r="109">
      <c r="A109" s="40" t="n"/>
      <c r="B109" s="33" t="n"/>
      <c r="C109" s="40" t="n"/>
      <c r="D109" s="34" t="n"/>
      <c r="E109" s="35">
        <f>IF(OR(B109="",D109=""),0,B109*D109)</f>
        <v/>
      </c>
      <c r="F109" s="30" t="n"/>
    </row>
    <row r="110">
      <c r="A110" s="40" t="n"/>
      <c r="B110" s="33" t="n"/>
      <c r="C110" s="40" t="n"/>
      <c r="D110" s="34" t="n"/>
      <c r="E110" s="35">
        <f>IF(OR(B110="",D110=""),0,B110*D110)</f>
        <v/>
      </c>
      <c r="F110" s="30" t="n"/>
    </row>
    <row r="111">
      <c r="A111" s="32" t="inlineStr">
        <is>
          <t>Costo Insumos Específicos (por kg carne)</t>
        </is>
      </c>
      <c r="B111" s="35">
        <f>E93</f>
        <v/>
      </c>
      <c r="C111" s="30" t="n"/>
      <c r="D111" s="30" t="n"/>
      <c r="E111" s="30" t="n"/>
      <c r="F111" s="30" t="n"/>
    </row>
    <row r="112">
      <c r="A112" s="32" t="inlineStr">
        <is>
          <t>Costos Generales por Lote (huevo, sal, etc.)</t>
        </is>
      </c>
      <c r="B112" s="35">
        <f>'Costos Generales'!E4</f>
        <v/>
      </c>
      <c r="C112" s="30" t="n"/>
      <c r="D112" s="30" t="n"/>
      <c r="E112" s="30" t="n"/>
      <c r="F112" s="30" t="n"/>
    </row>
    <row r="113">
      <c r="A113" s="41" t="inlineStr">
        <is>
          <t>Costo Total del Lote (subtotal)</t>
        </is>
      </c>
      <c r="B113" s="42">
        <f>B111+B112</f>
        <v/>
      </c>
      <c r="C113" s="30" t="n"/>
      <c r="D113" s="30" t="n"/>
      <c r="E113" s="30" t="n"/>
      <c r="F113" s="30" t="n"/>
    </row>
    <row r="114">
      <c r="A114" s="32" t="inlineStr">
        <is>
          <t>Peso final del lote rebozado (kg) [Ej: 1.35 a 1.40 kg por kg carne]</t>
        </is>
      </c>
      <c r="B114" s="43" t="n">
        <v>1.35</v>
      </c>
      <c r="C114" s="30" t="n"/>
      <c r="D114" s="30" t="n"/>
      <c r="E114" s="30" t="n"/>
      <c r="F114" s="30" t="n"/>
    </row>
    <row r="115">
      <c r="A115" s="32" t="inlineStr">
        <is>
          <t>Peso por milanesa (g)</t>
        </is>
      </c>
      <c r="B115" s="37" t="n">
        <v>180</v>
      </c>
      <c r="C115" s="30" t="n"/>
      <c r="D115" s="30" t="n"/>
      <c r="E115" s="30" t="n"/>
      <c r="F115" s="30" t="n"/>
    </row>
    <row r="116">
      <c r="A116" s="32" t="inlineStr">
        <is>
          <t>Unidades por lote</t>
        </is>
      </c>
      <c r="B116" s="44">
        <f>IF(OR(B114="",B115="",B115=0),0,(B114*1000)/B115)</f>
        <v/>
      </c>
      <c r="C116" s="30" t="n"/>
      <c r="D116" s="30" t="n"/>
      <c r="E116" s="30" t="n"/>
      <c r="F116" s="30" t="n"/>
    </row>
    <row r="117">
      <c r="A117" s="32" t="inlineStr">
        <is>
          <t>Costo del lote por unidad</t>
        </is>
      </c>
      <c r="B117" s="35">
        <f>IF(B116=0,0,B113/B116)</f>
        <v/>
      </c>
      <c r="C117" s="30" t="n"/>
      <c r="D117" s="30" t="n"/>
      <c r="E117" s="30" t="n"/>
      <c r="F117" s="30" t="n"/>
    </row>
    <row r="118">
      <c r="A118" s="45" t="inlineStr">
        <is>
          <t>COSTO FINAL POR MILANESA</t>
        </is>
      </c>
      <c r="B118" s="46">
        <f>B117/(1-'Costos Generales'!B39)</f>
        <v/>
      </c>
      <c r="C118" s="30" t="n"/>
      <c r="D118" s="30" t="n"/>
      <c r="E118" s="30" t="n"/>
      <c r="F118" s="30" t="n"/>
    </row>
    <row r="119">
      <c r="A119" s="30" t="n"/>
      <c r="B119" s="30" t="n"/>
      <c r="C119" s="30" t="n"/>
      <c r="D119" s="30" t="n"/>
      <c r="E119" s="30" t="n"/>
      <c r="F119" s="30" t="n"/>
    </row>
    <row r="120">
      <c r="A120" s="30" t="n"/>
      <c r="B120" s="30" t="n"/>
      <c r="C120" s="30" t="n"/>
      <c r="D120" s="30" t="n"/>
      <c r="E120" s="30" t="n"/>
      <c r="F120" s="30" t="n"/>
    </row>
    <row r="121" ht="15.75" customHeight="1" s="62">
      <c r="A121" s="61" t="inlineStr">
        <is>
          <t>Indefinido</t>
        </is>
      </c>
    </row>
    <row r="122">
      <c r="A122" s="63" t="inlineStr">
        <is>
          <t>TOTAL INSUMOS ESPECÍFICOS (por kg de carne)</t>
        </is>
      </c>
      <c r="B122" s="59" t="n"/>
      <c r="C122" s="59" t="n"/>
      <c r="D122" s="60" t="n"/>
      <c r="E122" s="29">
        <f>SUM(E124:E139)</f>
        <v/>
      </c>
      <c r="F122" s="30" t="n"/>
    </row>
    <row r="123" ht="30" customHeight="1" s="62">
      <c r="A123" s="31" t="inlineStr">
        <is>
          <t>Insumo</t>
        </is>
      </c>
      <c r="B123" s="31" t="inlineStr">
        <is>
          <t>Cantidad</t>
        </is>
      </c>
      <c r="C123" s="31" t="inlineStr">
        <is>
          <t>Unidad</t>
        </is>
      </c>
      <c r="D123" s="31" t="inlineStr">
        <is>
          <t>Costo unitario</t>
        </is>
      </c>
      <c r="E123" s="31" t="inlineStr">
        <is>
          <t>Costo de la línea</t>
        </is>
      </c>
      <c r="F123" s="30" t="n"/>
    </row>
    <row r="124">
      <c r="A124" s="32" t="n"/>
      <c r="B124" s="33" t="n"/>
      <c r="C124" s="32" t="inlineStr">
        <is>
          <t>cucharadas</t>
        </is>
      </c>
      <c r="D124" s="34" t="n"/>
      <c r="E124" s="35">
        <f>IF(D124="",0,B124*D124)</f>
        <v/>
      </c>
      <c r="F124" s="30" t="n"/>
    </row>
    <row r="125">
      <c r="A125" s="32" t="n"/>
      <c r="B125" s="33" t="n"/>
      <c r="C125" s="32" t="inlineStr">
        <is>
          <t>g</t>
        </is>
      </c>
      <c r="D125" s="34" t="n"/>
      <c r="E125" s="35">
        <f>IF(D125="",0,B125*D125)</f>
        <v/>
      </c>
      <c r="F125" s="30" t="n"/>
    </row>
    <row r="126">
      <c r="A126" s="32" t="n"/>
      <c r="B126" s="33" t="n"/>
      <c r="C126" s="32" t="inlineStr">
        <is>
          <t>g</t>
        </is>
      </c>
      <c r="D126" s="34" t="n"/>
      <c r="E126" s="35">
        <f>IF(D126="",0,B126*D126)</f>
        <v/>
      </c>
      <c r="F126" s="30" t="n"/>
    </row>
    <row r="127">
      <c r="A127" s="32" t="n"/>
      <c r="B127" s="33" t="n"/>
      <c r="C127" s="32" t="inlineStr">
        <is>
          <t>g</t>
        </is>
      </c>
      <c r="D127" s="34" t="n"/>
      <c r="E127" s="35">
        <f>IF(D127="",0,B127*D127)</f>
        <v/>
      </c>
      <c r="F127" s="30" t="n"/>
    </row>
    <row r="128">
      <c r="A128" s="32" t="n"/>
      <c r="B128" s="33" t="n"/>
      <c r="C128" s="32" t="inlineStr">
        <is>
          <t>g</t>
        </is>
      </c>
      <c r="D128" s="34" t="n"/>
      <c r="E128" s="35">
        <f>IF(D128="",0,B128*D128)</f>
        <v/>
      </c>
      <c r="F128" s="30" t="n"/>
    </row>
    <row r="129">
      <c r="A129" s="32" t="n"/>
      <c r="B129" s="33" t="n"/>
      <c r="C129" s="32" t="inlineStr">
        <is>
          <t>g</t>
        </is>
      </c>
      <c r="D129" s="34" t="n"/>
      <c r="E129" s="35">
        <f>IF(D129="",0,B129*D129)</f>
        <v/>
      </c>
      <c r="F129" s="30" t="n"/>
    </row>
    <row r="130">
      <c r="A130" s="32" t="n"/>
      <c r="B130" s="33" t="n"/>
      <c r="C130" s="32" t="inlineStr">
        <is>
          <t>g</t>
        </is>
      </c>
      <c r="D130" s="34" t="n"/>
      <c r="E130" s="35">
        <f>IF(D130="",0,B130*D130)</f>
        <v/>
      </c>
      <c r="F130" s="30" t="n"/>
    </row>
    <row r="131">
      <c r="A131" s="36" t="n"/>
      <c r="B131" s="37" t="n"/>
      <c r="C131" s="32" t="inlineStr">
        <is>
          <t>g</t>
        </is>
      </c>
      <c r="D131" s="38" t="n"/>
      <c r="E131" s="38" t="n"/>
      <c r="F131" s="30" t="n"/>
    </row>
    <row r="132">
      <c r="A132" s="32" t="n"/>
      <c r="B132" s="39" t="n"/>
      <c r="C132" s="32" t="inlineStr">
        <is>
          <t>g</t>
        </is>
      </c>
      <c r="D132" s="34" t="n"/>
      <c r="E132" s="35">
        <f>IF(D132="",0,B132*D132)</f>
        <v/>
      </c>
      <c r="F132" s="30" t="n"/>
    </row>
    <row r="133">
      <c r="A133" s="40" t="n"/>
      <c r="B133" s="33" t="n"/>
      <c r="C133" s="40" t="n"/>
      <c r="D133" s="34" t="n"/>
      <c r="E133" s="35">
        <f>IF(OR(B133="",D133=""),0,B133*D133)</f>
        <v/>
      </c>
      <c r="F133" s="30" t="n"/>
    </row>
    <row r="134">
      <c r="A134" s="40" t="n"/>
      <c r="B134" s="33" t="n"/>
      <c r="C134" s="40" t="n"/>
      <c r="D134" s="34" t="n"/>
      <c r="E134" s="35">
        <f>IF(OR(B134="",D134=""),0,B134*D134)</f>
        <v/>
      </c>
      <c r="F134" s="30" t="n"/>
    </row>
    <row r="135">
      <c r="A135" s="40" t="n"/>
      <c r="B135" s="33" t="n"/>
      <c r="C135" s="40" t="n"/>
      <c r="D135" s="34" t="n"/>
      <c r="E135" s="35">
        <f>IF(OR(B135="",D135=""),0,B135*D135)</f>
        <v/>
      </c>
      <c r="F135" s="30" t="n"/>
    </row>
    <row r="136">
      <c r="A136" s="40" t="n"/>
      <c r="B136" s="33" t="n"/>
      <c r="C136" s="40" t="n"/>
      <c r="D136" s="34" t="n"/>
      <c r="E136" s="35">
        <f>IF(OR(B136="",D136=""),0,B136*D136)</f>
        <v/>
      </c>
      <c r="F136" s="30" t="n"/>
    </row>
    <row r="137">
      <c r="A137" s="40" t="n"/>
      <c r="B137" s="33" t="n"/>
      <c r="C137" s="40" t="n"/>
      <c r="D137" s="34" t="n"/>
      <c r="E137" s="35">
        <f>IF(OR(B137="",D137=""),0,B137*D137)</f>
        <v/>
      </c>
      <c r="F137" s="30" t="n"/>
    </row>
    <row r="138">
      <c r="A138" s="40" t="n"/>
      <c r="B138" s="33" t="n"/>
      <c r="C138" s="40" t="n"/>
      <c r="D138" s="34" t="n"/>
      <c r="E138" s="35">
        <f>IF(OR(B138="",D138=""),0,B138*D138)</f>
        <v/>
      </c>
      <c r="F138" s="30" t="n"/>
    </row>
    <row r="139">
      <c r="A139" s="40" t="n"/>
      <c r="B139" s="33" t="n"/>
      <c r="C139" s="40" t="n"/>
      <c r="D139" s="34" t="n"/>
      <c r="E139" s="35">
        <f>IF(OR(B139="",D139=""),0,B139*D139)</f>
        <v/>
      </c>
      <c r="F139" s="30" t="n"/>
    </row>
    <row r="140">
      <c r="A140" s="32" t="inlineStr">
        <is>
          <t>Costo Insumos Específicos (por kg carne)</t>
        </is>
      </c>
      <c r="B140" s="35">
        <f>E122</f>
        <v/>
      </c>
      <c r="C140" s="30" t="n"/>
      <c r="D140" s="30" t="n"/>
      <c r="E140" s="30" t="n"/>
      <c r="F140" s="30" t="n"/>
    </row>
    <row r="141">
      <c r="A141" s="32" t="inlineStr">
        <is>
          <t>Costos Generales por Lote (huevo, sal, etc.)</t>
        </is>
      </c>
      <c r="B141" s="35">
        <f>'Costos Generales'!E4</f>
        <v/>
      </c>
      <c r="C141" s="30" t="n"/>
      <c r="D141" s="30" t="n"/>
      <c r="E141" s="30" t="n"/>
      <c r="F141" s="30" t="n"/>
    </row>
    <row r="142">
      <c r="A142" s="41" t="inlineStr">
        <is>
          <t>Costo Total del Lote (subtotal)</t>
        </is>
      </c>
      <c r="B142" s="42">
        <f>B140+B141</f>
        <v/>
      </c>
      <c r="C142" s="30" t="n"/>
      <c r="D142" s="30" t="n"/>
      <c r="E142" s="30" t="n"/>
      <c r="F142" s="30" t="n"/>
    </row>
    <row r="143">
      <c r="A143" s="32" t="inlineStr">
        <is>
          <t>Peso final del lote rebozado (kg) [Ej: 1.35 a 1.40 kg por kg carne]</t>
        </is>
      </c>
      <c r="B143" s="43" t="n"/>
      <c r="C143" s="30" t="n"/>
      <c r="D143" s="30" t="n"/>
      <c r="E143" s="30" t="n"/>
      <c r="F143" s="30" t="n"/>
    </row>
    <row r="144">
      <c r="A144" s="32" t="inlineStr">
        <is>
          <t>Peso por milanesa (g)</t>
        </is>
      </c>
      <c r="B144" s="37" t="n"/>
      <c r="C144" s="30" t="n"/>
      <c r="D144" s="30" t="n"/>
      <c r="E144" s="30" t="n"/>
      <c r="F144" s="30" t="n"/>
    </row>
    <row r="145">
      <c r="A145" s="32" t="inlineStr">
        <is>
          <t>Unidades por lote</t>
        </is>
      </c>
      <c r="B145" s="44">
        <f>IF(OR(B143="",B144="",B144=0),0,(B143*1000)/B144)</f>
        <v/>
      </c>
      <c r="C145" s="30" t="n"/>
      <c r="D145" s="30" t="n"/>
      <c r="E145" s="30" t="n"/>
      <c r="F145" s="30" t="n"/>
    </row>
    <row r="146">
      <c r="A146" s="32" t="inlineStr">
        <is>
          <t>Costo del lote por unidad</t>
        </is>
      </c>
      <c r="B146" s="35">
        <f>IF(B145=0,0,B142/B145)</f>
        <v/>
      </c>
      <c r="C146" s="30" t="n"/>
      <c r="D146" s="30" t="n"/>
      <c r="E146" s="30" t="n"/>
      <c r="F146" s="30" t="n"/>
    </row>
    <row r="147">
      <c r="A147" s="45" t="inlineStr">
        <is>
          <t>COSTO FINAL POR MILANESA</t>
        </is>
      </c>
      <c r="B147" s="46">
        <f>B146/(1-'Costos Generales'!B39)</f>
        <v/>
      </c>
      <c r="C147" s="30" t="n"/>
      <c r="D147" s="30" t="n"/>
      <c r="E147" s="30" t="n"/>
      <c r="F147" s="30" t="n"/>
    </row>
    <row r="148">
      <c r="A148" s="30" t="n"/>
      <c r="B148" s="30" t="n"/>
      <c r="C148" s="30" t="n"/>
      <c r="D148" s="30" t="n"/>
      <c r="E148" s="30" t="n"/>
      <c r="F148" s="30" t="n"/>
    </row>
    <row r="149">
      <c r="A149" s="30" t="n"/>
      <c r="B149" s="30" t="n"/>
      <c r="C149" s="30" t="n"/>
      <c r="D149" s="30" t="n"/>
      <c r="E149" s="30" t="n"/>
      <c r="F149" s="30" t="n"/>
    </row>
  </sheetData>
  <mergeCells count="12">
    <mergeCell ref="A63:F63"/>
    <mergeCell ref="A121:F121"/>
    <mergeCell ref="A122:D122"/>
    <mergeCell ref="A6:D6"/>
    <mergeCell ref="A3:F3"/>
    <mergeCell ref="A35:D35"/>
    <mergeCell ref="A1:F1"/>
    <mergeCell ref="A5:F5"/>
    <mergeCell ref="A64:D64"/>
    <mergeCell ref="A34:F34"/>
    <mergeCell ref="A92:F92"/>
    <mergeCell ref="A93:D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zoomScaleNormal="100" workbookViewId="0">
      <pane ySplit="3" topLeftCell="A4" activePane="bottomLeft" state="frozen"/>
      <selection pane="bottomLeft" activeCell="A1" sqref="A1:F1"/>
    </sheetView>
  </sheetViews>
  <sheetFormatPr baseColWidth="10" defaultColWidth="8.7109375" defaultRowHeight="15"/>
  <cols>
    <col width="26" customWidth="1" style="62" min="1" max="1"/>
    <col width="15" customWidth="1" style="62" min="2" max="6"/>
  </cols>
  <sheetData>
    <row r="1" ht="25.5" customHeight="1" s="62">
      <c r="A1" s="68" t="inlineStr">
        <is>
          <t>Precios de Venta y Márgenes por Receta</t>
        </is>
      </c>
    </row>
    <row r="3" ht="25.5" customHeight="1" s="62">
      <c r="A3" s="12" t="inlineStr">
        <is>
          <t>Receta</t>
        </is>
      </c>
      <c r="B3" s="12" t="inlineStr">
        <is>
          <t>Costo variable
unitario</t>
        </is>
      </c>
      <c r="C3" s="12" t="inlineStr">
        <is>
          <t>Precio de venta</t>
        </is>
      </c>
      <c r="D3" s="12" t="inlineStr">
        <is>
          <t>Margen $</t>
        </is>
      </c>
      <c r="E3" s="12" t="inlineStr">
        <is>
          <t>Margen %
(sobre precio)</t>
        </is>
      </c>
      <c r="F3" s="12" t="inlineStr">
        <is>
          <t>Food cost %</t>
        </is>
      </c>
    </row>
    <row r="4" ht="15" customHeight="1" s="62">
      <c r="A4" s="47">
        <f>'Recetas Pollo'!A5</f>
        <v/>
      </c>
      <c r="B4" s="47">
        <f>'Recetas Pollo'!B31</f>
        <v/>
      </c>
      <c r="C4" s="47" t="n">
        <v>6500</v>
      </c>
      <c r="D4" s="47">
        <f>IF(OR(C4="",C4=0),"",C4*(1-'Costos Generales'!B38)-B4)</f>
        <v/>
      </c>
      <c r="E4" s="47">
        <f>IF(OR(D4="",C4="",C4=0),"",D4/C4)</f>
        <v/>
      </c>
      <c r="F4" s="47">
        <f>IF(OR(C4="",C4=0),"",B4/C4)</f>
        <v/>
      </c>
    </row>
    <row r="5" ht="15" customHeight="1" s="62">
      <c r="A5" s="47">
        <f>'Recetas Pollo'!A34</f>
        <v/>
      </c>
      <c r="B5" s="47">
        <f>'Recetas Pollo'!B60</f>
        <v/>
      </c>
      <c r="C5" s="47" t="n">
        <v>6500</v>
      </c>
      <c r="D5" s="47">
        <f>IF(OR(C5="",C5=0),"",C5*(1-'Costos Generales'!B38)-B5)</f>
        <v/>
      </c>
      <c r="E5" s="47">
        <f>IF(OR(D5="",C5="",C5=0),"",D5/C5)</f>
        <v/>
      </c>
      <c r="F5" s="47">
        <f>IF(OR(C5="",C5=0),"",B5/C5)</f>
        <v/>
      </c>
    </row>
    <row r="6" ht="15" customHeight="1" s="62">
      <c r="A6" s="47">
        <f>'Recetas Pollo'!A63</f>
        <v/>
      </c>
      <c r="B6" s="47">
        <f>'Recetas Pollo'!B89</f>
        <v/>
      </c>
      <c r="C6" s="47" t="n">
        <v>6500</v>
      </c>
      <c r="D6" s="47">
        <f>IF(OR(C6="",C6=0),"",C6*(1-'Costos Generales'!B38)-B6)</f>
        <v/>
      </c>
      <c r="E6" s="47">
        <f>IF(OR(D6="",C6="",C6=0),"",D6/C6)</f>
        <v/>
      </c>
      <c r="F6" s="47">
        <f>IF(OR(C6="",C6=0),"",B6/C6)</f>
        <v/>
      </c>
    </row>
    <row r="7" ht="15" customHeight="1" s="62">
      <c r="A7" s="47">
        <f>'Recetas Pollo'!A92</f>
        <v/>
      </c>
      <c r="B7" s="47">
        <f>'Recetas Pollo'!B118</f>
        <v/>
      </c>
      <c r="C7" s="47" t="n">
        <v>7000</v>
      </c>
      <c r="D7" s="47">
        <f>IF(OR(C7="",C7=0),"",C7*(1-'Costos Generales'!B38)-B7)</f>
        <v/>
      </c>
      <c r="E7" s="47">
        <f>IF(OR(D7="",C7="",C7=0),"",D7/C7)</f>
        <v/>
      </c>
      <c r="F7" s="47">
        <f>IF(OR(C7="",C7=0),"",B7/C7)</f>
        <v/>
      </c>
    </row>
    <row r="8" ht="15" customHeight="1" s="62">
      <c r="A8" s="47">
        <f>'Recetas Pollo'!A121</f>
        <v/>
      </c>
      <c r="B8" s="47">
        <f>'Recetas Pollo'!B147</f>
        <v/>
      </c>
      <c r="C8" s="47" t="n">
        <v>6500</v>
      </c>
      <c r="D8" s="47">
        <f>IF(OR(C8="",C8=0),"",C8*(1-'Costos Generales'!B38)-B8)</f>
        <v/>
      </c>
      <c r="E8" s="47">
        <f>IF(OR(D8="",C8="",C8=0),"",D8/C8)</f>
        <v/>
      </c>
      <c r="F8" s="47">
        <f>IF(OR(C8="",C8=0),"",B8/C8)</f>
        <v/>
      </c>
    </row>
    <row r="9" ht="15" customHeight="1" s="62">
      <c r="A9" s="47">
        <f>'Recetas Vaca'!A5</f>
        <v/>
      </c>
      <c r="B9" s="47">
        <f>'Recetas Vaca'!B31</f>
        <v/>
      </c>
      <c r="C9" s="47" t="n">
        <v>7500</v>
      </c>
      <c r="D9" s="47">
        <f>IF(OR(C9="",C9=0),"",C9*(1-'Costos Generales'!B38)-B9)</f>
        <v/>
      </c>
      <c r="E9" s="47">
        <f>IF(OR(D9="",C9="",C9=0),"",D9/C9)</f>
        <v/>
      </c>
      <c r="F9" s="47">
        <f>IF(OR(C9="",C9=0),"",B9/C9)</f>
        <v/>
      </c>
    </row>
    <row r="10" ht="15" customHeight="1" s="62">
      <c r="A10" s="47">
        <f>'Recetas Vaca'!A34</f>
        <v/>
      </c>
      <c r="B10" s="47">
        <f>'Recetas Vaca'!B60</f>
        <v/>
      </c>
      <c r="C10" s="47" t="n">
        <v>7500</v>
      </c>
      <c r="D10" s="47">
        <f>IF(OR(C10="",C10=0),"",C10*(1-'Costos Generales'!B38)-B10)</f>
        <v/>
      </c>
      <c r="E10" s="47">
        <f>IF(OR(D10="",C10="",C10=0),"",D10/C10)</f>
        <v/>
      </c>
      <c r="F10" s="47">
        <f>IF(OR(C10="",C10=0),"",B10/C10)</f>
        <v/>
      </c>
    </row>
    <row r="11" ht="15" customHeight="1" s="62">
      <c r="A11" s="47">
        <f>'Recetas Vaca'!A63</f>
        <v/>
      </c>
      <c r="B11" s="47">
        <f>'Recetas Vaca'!B89</f>
        <v/>
      </c>
      <c r="C11" s="47" t="n">
        <v>7500</v>
      </c>
      <c r="D11" s="47">
        <f>IF(OR(C11="",C11=0),"",C11*(1-'Costos Generales'!B38)-B11)</f>
        <v/>
      </c>
      <c r="E11" s="47">
        <f>IF(OR(D11="",C11="",C11=0),"",D11/C11)</f>
        <v/>
      </c>
      <c r="F11" s="47">
        <f>IF(OR(C11="",C11=0),"",B11/C11)</f>
        <v/>
      </c>
    </row>
    <row r="12" ht="15" customHeight="1" s="62">
      <c r="A12" s="47">
        <f>'Recetas Vaca'!A92</f>
        <v/>
      </c>
      <c r="B12" s="47">
        <f>'Recetas Vaca'!B118</f>
        <v/>
      </c>
      <c r="C12" s="47" t="n">
        <v>8000</v>
      </c>
      <c r="D12" s="47">
        <f>IF(OR(C12="",C12=0),"",C12*(1-'Costos Generales'!B38)-B12)</f>
        <v/>
      </c>
      <c r="E12" s="47">
        <f>IF(OR(D12="",C12="",C12=0),"",D12/C12)</f>
        <v/>
      </c>
      <c r="F12" s="47">
        <f>IF(OR(C12="",C12=0),"",B12/C12)</f>
        <v/>
      </c>
    </row>
    <row r="13" ht="15" customHeight="1" s="62">
      <c r="A13" s="47">
        <f>'Recetas Vaca'!A121</f>
        <v/>
      </c>
      <c r="B13" s="47">
        <f>'Recetas Vaca'!B147</f>
        <v/>
      </c>
      <c r="C13" s="47" t="n">
        <v>7500</v>
      </c>
      <c r="D13" s="47">
        <f>IF(OR(C13="",C13=0),"",C13*(1-'Costos Generales'!B38)-B13)</f>
        <v/>
      </c>
      <c r="E13" s="47">
        <f>IF(OR(D13="",C13="",C13=0),"",D13/C13)</f>
        <v/>
      </c>
      <c r="F13" s="47">
        <f>IF(OR(C13="",C13=0),"",B13/C13)</f>
        <v/>
      </c>
    </row>
    <row r="14" ht="15" customHeight="1" s="62">
      <c r="A14" s="47">
        <f>'Recetas Cerdo'!A5</f>
        <v/>
      </c>
      <c r="B14" s="47">
        <f>'Recetas Cerdo'!B31</f>
        <v/>
      </c>
      <c r="C14" s="47" t="n">
        <v>6800</v>
      </c>
      <c r="D14" s="47">
        <f>IF(OR(C14="",C14=0),"",C14*(1-'Costos Generales'!B38)-B14)</f>
        <v/>
      </c>
      <c r="E14" s="47">
        <f>IF(OR(D14="",C14="",C14=0),"",D14/C14)</f>
        <v/>
      </c>
      <c r="F14" s="47">
        <f>IF(OR(C14="",C14=0),"",B14/C14)</f>
        <v/>
      </c>
    </row>
    <row r="15" ht="15" customHeight="1" s="62">
      <c r="A15" s="47">
        <f>'Recetas Cerdo'!A34</f>
        <v/>
      </c>
      <c r="B15" s="47">
        <f>'Recetas Cerdo'!B60</f>
        <v/>
      </c>
      <c r="C15" s="47" t="n">
        <v>6800</v>
      </c>
      <c r="D15" s="47">
        <f>IF(OR(C15="",C15=0),"",C15*(1-'Costos Generales'!B38)-B15)</f>
        <v/>
      </c>
      <c r="E15" s="47">
        <f>IF(OR(D15="",C15="",C15=0),"",D15/C15)</f>
        <v/>
      </c>
      <c r="F15" s="47">
        <f>IF(OR(C15="",C15=0),"",B15/C15)</f>
        <v/>
      </c>
    </row>
    <row r="16" ht="15" customHeight="1" s="62">
      <c r="A16" s="47">
        <f>'Recetas Cerdo'!A63</f>
        <v/>
      </c>
      <c r="B16" s="47">
        <f>'Recetas Cerdo'!B89</f>
        <v/>
      </c>
      <c r="C16" s="47" t="n">
        <v>7300</v>
      </c>
      <c r="D16" s="47">
        <f>IF(OR(C16="",C16=0),"",C16*(1-'Costos Generales'!B38)-B16)</f>
        <v/>
      </c>
      <c r="E16" s="47">
        <f>IF(OR(D16="",C16="",C16=0),"",D16/C16)</f>
        <v/>
      </c>
      <c r="F16" s="47">
        <f>IF(OR(C16="",C16=0),"",B16/C16)</f>
        <v/>
      </c>
    </row>
    <row r="17" ht="15" customHeight="1" s="62">
      <c r="A17" s="47">
        <f>'Recetas Cerdo'!A92</f>
        <v/>
      </c>
      <c r="B17" s="47">
        <f>'Recetas Cerdo'!B118</f>
        <v/>
      </c>
      <c r="C17" s="47" t="n">
        <v>7300</v>
      </c>
      <c r="D17" s="47">
        <f>IF(OR(C17="",C17=0),"",C17*(1-'Costos Generales'!B38)-B17)</f>
        <v/>
      </c>
      <c r="E17" s="47">
        <f>IF(OR(D17="",C17="",C17=0),"",D17/C17)</f>
        <v/>
      </c>
      <c r="F17" s="47">
        <f>IF(OR(C17="",C17=0),"",B17/C17)</f>
        <v/>
      </c>
    </row>
    <row r="18" ht="15" customHeight="1" s="62">
      <c r="A18" s="47">
        <f>'Recetas Cerdo'!A121</f>
        <v/>
      </c>
      <c r="B18" s="47">
        <f>'Recetas Cerdo'!B147</f>
        <v/>
      </c>
      <c r="C18" s="47" t="n"/>
      <c r="D18" s="47">
        <f>IF(OR(C18="",C18=0),"",C18*(1-'Costos Generales'!B38)-B18)</f>
        <v/>
      </c>
      <c r="E18" s="47">
        <f>IF(OR(D18="",C18="",C18=0),"",D18/C18)</f>
        <v/>
      </c>
      <c r="F18" s="47">
        <f>IF(OR(C18="",C18=0),"",B18/C18)</f>
        <v/>
      </c>
    </row>
    <row r="19" ht="15" customHeight="1" s="62">
      <c r="A19" s="16" t="n"/>
      <c r="B19" s="8" t="n"/>
      <c r="C19" s="14" t="n"/>
      <c r="D19" s="8" t="n"/>
      <c r="E19" s="8" t="n"/>
      <c r="F19" s="8" t="n"/>
    </row>
    <row r="20" ht="15" customHeight="1" s="62">
      <c r="A20" s="48" t="inlineStr">
        <is>
          <t>PROMEDIO</t>
        </is>
      </c>
      <c r="B20" s="49">
        <f>IFERROR(AVERAGEIFS(B4:B18,$C$4:$C$18,"&gt;0"),0)</f>
        <v/>
      </c>
      <c r="C20" s="50">
        <f>IFERROR(AVERAGEIFS(C4:C18,$C$4:$C$18,"&gt;0"),0)</f>
        <v/>
      </c>
      <c r="D20" s="49">
        <f>IFERROR(AVERAGEIFS(D4:D18,$C$4:$C$18,"&gt;0"),0)</f>
        <v/>
      </c>
      <c r="E20" s="49">
        <f>IFERROR(AVERAGEIFS(E4:E18,$C$4:$C$18,"&gt;0"),0)</f>
        <v/>
      </c>
      <c r="F20" s="49">
        <f>IFERROR(AVERAGEIFS(F4:F18,$C$4:$C$18,"&gt;0"),0)</f>
        <v/>
      </c>
    </row>
    <row r="21" ht="15" customHeight="1" s="62">
      <c r="A21" s="16" t="n"/>
      <c r="B21" s="8" t="n"/>
      <c r="C21" s="14" t="n"/>
      <c r="D21" s="8" t="n"/>
      <c r="E21" s="8" t="n"/>
      <c r="F21" s="8" t="n"/>
    </row>
    <row r="22" ht="15" customHeight="1" s="62">
      <c r="A22" s="16" t="n"/>
      <c r="B22" s="8" t="n"/>
      <c r="C22" s="14" t="n"/>
      <c r="D22" s="8" t="n"/>
      <c r="E22" s="8" t="n"/>
      <c r="F22" s="8" t="n"/>
    </row>
    <row r="23" ht="15" customHeight="1" s="62">
      <c r="A23" s="16" t="n"/>
      <c r="B23" s="8" t="n"/>
      <c r="C23" s="14" t="n"/>
      <c r="D23" s="8" t="n"/>
      <c r="E23" s="8" t="n"/>
      <c r="F23" s="8" t="n"/>
    </row>
    <row r="24" ht="15" customHeight="1" s="62">
      <c r="A24" s="16" t="n"/>
      <c r="B24" s="8" t="n"/>
      <c r="C24" s="14" t="n"/>
      <c r="D24" s="8" t="n"/>
      <c r="E24" s="8" t="n"/>
      <c r="F24" s="8" t="n"/>
    </row>
    <row r="25" ht="15" customHeight="1" s="62">
      <c r="A25" s="16" t="n"/>
      <c r="B25" s="8" t="n"/>
      <c r="C25" s="14" t="n"/>
      <c r="D25" s="8" t="n"/>
      <c r="E25" s="8" t="n"/>
      <c r="F25" s="8" t="n"/>
    </row>
    <row r="26" ht="15" customHeight="1" s="62">
      <c r="A26" s="16" t="n"/>
      <c r="B26" s="8" t="n"/>
      <c r="C26" s="14" t="n"/>
      <c r="D26" s="8" t="n"/>
      <c r="E26" s="8" t="n"/>
      <c r="F26" s="8" t="n"/>
    </row>
    <row r="27" ht="15" customHeight="1" s="62">
      <c r="A27" s="16" t="n"/>
      <c r="B27" s="8" t="n"/>
      <c r="C27" s="14" t="n"/>
      <c r="D27" s="8" t="n"/>
      <c r="E27" s="8" t="n"/>
      <c r="F27" s="8" t="n"/>
    </row>
    <row r="28" ht="15" customHeight="1" s="62">
      <c r="A28" s="16" t="n"/>
      <c r="B28" s="8" t="n"/>
      <c r="C28" s="14" t="n"/>
      <c r="D28" s="8" t="n"/>
      <c r="E28" s="8" t="n"/>
      <c r="F28" s="8" t="n"/>
    </row>
    <row r="29" ht="15" customHeight="1" s="62">
      <c r="A29" s="16" t="n"/>
      <c r="B29" s="8" t="n"/>
      <c r="C29" s="14" t="n"/>
      <c r="D29" s="8" t="n"/>
      <c r="E29" s="8" t="n"/>
      <c r="F29" s="8" t="n"/>
    </row>
    <row r="30"/>
    <row r="31" ht="15" customHeight="1" s="62">
      <c r="A31" s="19" t="n"/>
      <c r="B31" s="20" t="n"/>
      <c r="C31" s="20" t="n"/>
      <c r="D31" s="20" t="n"/>
      <c r="E31" s="51" t="n"/>
      <c r="F31" s="51" t="n"/>
    </row>
    <row r="32"/>
    <row r="33" ht="15" customHeight="1" s="62">
      <c r="A33" s="72" t="n"/>
    </row>
    <row r="34"/>
    <row r="35"/>
    <row r="36"/>
    <row r="37"/>
    <row r="38"/>
    <row r="39"/>
    <row r="40"/>
  </sheetData>
  <mergeCells count="2">
    <mergeCell ref="A33:F33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zoomScaleNormal="100" workbookViewId="0">
      <selection activeCell="A1" sqref="A1:C1"/>
    </sheetView>
  </sheetViews>
  <sheetFormatPr baseColWidth="10" defaultColWidth="8.7109375" defaultRowHeight="15"/>
  <cols>
    <col width="34" customWidth="1" style="62" min="1" max="1"/>
    <col width="20" customWidth="1" style="62" min="2" max="3"/>
  </cols>
  <sheetData>
    <row r="1" ht="25.5" customHeight="1" s="62">
      <c r="A1" s="68" t="inlineStr">
        <is>
          <t>Punto de Equilibrio Mensual</t>
        </is>
      </c>
    </row>
    <row r="3" ht="15" customHeight="1" s="62">
      <c r="A3" s="13" t="inlineStr">
        <is>
          <t>Total costos fijos mensuales</t>
        </is>
      </c>
      <c r="B3" s="18">
        <f>'Costos Fijos'!B3</f>
        <v/>
      </c>
    </row>
    <row r="4" ht="26.85" customHeight="1" s="62">
      <c r="A4" s="52" t="inlineStr">
        <is>
          <t>Margen de contribución promedio
por milanesa</t>
        </is>
      </c>
      <c r="B4" s="18">
        <f>'Precios y Márgenes'!D20</f>
        <v/>
      </c>
    </row>
    <row r="6" ht="39.6" customHeight="1" s="62">
      <c r="A6" s="53" t="inlineStr">
        <is>
          <t>MILANESAS A VENDER POR MES
para cubrir costos fijos</t>
        </is>
      </c>
      <c r="B6" s="19">
        <f>IF(B4&lt;=0,"N/D",ROUNDUP(B3/B4,0))</f>
        <v/>
      </c>
    </row>
    <row r="7" ht="26.85" customHeight="1" s="62">
      <c r="A7" s="52" t="inlineStr">
        <is>
          <t>...equivalente por día
(26 días/mes)</t>
        </is>
      </c>
      <c r="B7" s="13">
        <f>IF(B6="N/D","N/D",ROUNDUP(B6/26,0))</f>
        <v/>
      </c>
    </row>
    <row r="10" ht="49.5" customHeight="1" s="62">
      <c r="A10" s="73" t="inlineStr">
        <is>
          <t>Este cálculo usa el margen de contribución PROMEDIO de las recetas con precio cargado en 'Precios y Márgenes'. Si el margen promedio es negativo o cero, no hay punto de equilibrio posible con los precios actuales.</t>
        </is>
      </c>
    </row>
  </sheetData>
  <mergeCells count="2">
    <mergeCell ref="A1:C1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2026-09-14T19:02:33Z</dcterms:created>
  <dcterms:modified xsi:type="dcterms:W3CDTF">2026-10-06T17:08:21Z</dcterms:modified>
  <cp:lastModifiedBy>Usuario</cp:lastModifiedBy>
  <cp:revision>0</cp:revision>
</cp:coreProperties>
</file>