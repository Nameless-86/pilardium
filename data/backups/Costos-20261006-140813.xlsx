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bookViews>
    <workbookView xWindow="0" yWindow="0" windowWidth="25125" windowHeight="10350" tabRatio="500" firstSheet="5" activeTab="5"/>
  </bookViews>
  <sheets>
    <sheet name="Instrucciones" sheetId="1" r:id="rId1"/>
    <sheet name="Costos Fijos" sheetId="2" r:id="rId2"/>
    <sheet name="Capital Aportado" sheetId="3" r:id="rId3"/>
    <sheet name="Costos Generales" sheetId="4" r:id="rId4"/>
    <sheet name="Recetas Pollo" sheetId="5" r:id="rId5"/>
    <sheet name="Recetas Vaca" sheetId="6" r:id="rId6"/>
    <sheet name="Recetas Cerdo" sheetId="7" r:id="rId7"/>
    <sheet name="Precios y Márgenes" sheetId="8" r:id="rId8"/>
    <sheet name="Punto de Equilibrio" sheetId="9" r:id="rId9"/>
  </sheets>
  <calcPr calcId="162913"/>
</workbook>
</file>

<file path=xl/calcChain.xml><?xml version="1.0" encoding="utf-8"?>
<calcChain xmlns="http://schemas.openxmlformats.org/spreadsheetml/2006/main">
  <c r="E41" i="6" l="1"/>
  <c r="E41" i="7"/>
  <c r="E131" i="5"/>
  <c r="B3" i="9"/>
  <c r="F20" i="8"/>
  <c r="E20" i="8"/>
  <c r="D20" i="8"/>
  <c r="B4" i="9" s="1"/>
  <c r="B6" i="9" s="1"/>
  <c r="B7" i="9" s="1"/>
  <c r="C20" i="8"/>
  <c r="B20" i="8"/>
  <c r="F18" i="8"/>
  <c r="D18" i="8"/>
  <c r="E18" i="8" s="1"/>
  <c r="A18" i="8"/>
  <c r="F17" i="8"/>
  <c r="D17" i="8"/>
  <c r="E17" i="8" s="1"/>
  <c r="A17" i="8"/>
  <c r="F16" i="8"/>
  <c r="D16" i="8"/>
  <c r="E16" i="8" s="1"/>
  <c r="A16" i="8"/>
  <c r="F15" i="8"/>
  <c r="D15" i="8"/>
  <c r="E15" i="8" s="1"/>
  <c r="A15" i="8"/>
  <c r="F14" i="8"/>
  <c r="D14" i="8"/>
  <c r="E14" i="8" s="1"/>
  <c r="A14" i="8"/>
  <c r="F13" i="8"/>
  <c r="D13" i="8"/>
  <c r="E13" i="8" s="1"/>
  <c r="A13" i="8"/>
  <c r="F12" i="8"/>
  <c r="D12" i="8"/>
  <c r="E12" i="8" s="1"/>
  <c r="A12" i="8"/>
  <c r="F11" i="8"/>
  <c r="D11" i="8"/>
  <c r="E11" i="8" s="1"/>
  <c r="A11" i="8"/>
  <c r="F10" i="8"/>
  <c r="D10" i="8"/>
  <c r="E10" i="8" s="1"/>
  <c r="A10" i="8"/>
  <c r="F9" i="8"/>
  <c r="D9" i="8"/>
  <c r="E9" i="8" s="1"/>
  <c r="A9" i="8"/>
  <c r="F8" i="8"/>
  <c r="D8" i="8"/>
  <c r="E8" i="8" s="1"/>
  <c r="A8" i="8"/>
  <c r="F7" i="8"/>
  <c r="D7" i="8"/>
  <c r="E7" i="8" s="1"/>
  <c r="A7" i="8"/>
  <c r="F6" i="8"/>
  <c r="D6" i="8"/>
  <c r="E6" i="8" s="1"/>
  <c r="A6" i="8"/>
  <c r="F5" i="8"/>
  <c r="D5" i="8"/>
  <c r="E5" i="8" s="1"/>
  <c r="A5" i="8"/>
  <c r="F4" i="8"/>
  <c r="D4" i="8"/>
  <c r="E4" i="8" s="1"/>
  <c r="A4" i="8"/>
  <c r="B146" i="7"/>
  <c r="B147" i="7" s="1"/>
  <c r="B18" i="8" s="1"/>
  <c r="B145" i="7"/>
  <c r="E139" i="7"/>
  <c r="E138" i="7"/>
  <c r="E137" i="7"/>
  <c r="E136" i="7"/>
  <c r="E135" i="7"/>
  <c r="E134" i="7"/>
  <c r="E133" i="7"/>
  <c r="E132" i="7"/>
  <c r="E130" i="7"/>
  <c r="E129" i="7"/>
  <c r="E128" i="7"/>
  <c r="E127" i="7"/>
  <c r="E126" i="7"/>
  <c r="E125" i="7"/>
  <c r="E124" i="7"/>
  <c r="B117" i="7"/>
  <c r="B118" i="7" s="1"/>
  <c r="B17" i="8" s="1"/>
  <c r="B116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7" i="7"/>
  <c r="E95" i="7"/>
  <c r="B88" i="7"/>
  <c r="B89" i="7" s="1"/>
  <c r="B16" i="8" s="1"/>
  <c r="B87" i="7"/>
  <c r="E81" i="7"/>
  <c r="E80" i="7"/>
  <c r="E79" i="7"/>
  <c r="E78" i="7"/>
  <c r="E77" i="7"/>
  <c r="E76" i="7"/>
  <c r="E75" i="7"/>
  <c r="E74" i="7"/>
  <c r="E73" i="7"/>
  <c r="E71" i="7"/>
  <c r="E70" i="7"/>
  <c r="E69" i="7"/>
  <c r="E68" i="7"/>
  <c r="E67" i="7"/>
  <c r="E66" i="7"/>
  <c r="B59" i="7"/>
  <c r="B60" i="7" s="1"/>
  <c r="B15" i="8" s="1"/>
  <c r="B58" i="7"/>
  <c r="E52" i="7"/>
  <c r="E51" i="7"/>
  <c r="E50" i="7"/>
  <c r="E49" i="7"/>
  <c r="E48" i="7"/>
  <c r="E47" i="7"/>
  <c r="E46" i="7"/>
  <c r="E45" i="7"/>
  <c r="E44" i="7"/>
  <c r="E43" i="7"/>
  <c r="E42" i="7"/>
  <c r="E40" i="7"/>
  <c r="E39" i="7"/>
  <c r="E38" i="7"/>
  <c r="E37" i="7"/>
  <c r="B30" i="7"/>
  <c r="B31" i="7" s="1"/>
  <c r="B14" i="8" s="1"/>
  <c r="B29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9" i="7"/>
  <c r="E8" i="7"/>
  <c r="B146" i="6"/>
  <c r="B147" i="6" s="1"/>
  <c r="B13" i="8" s="1"/>
  <c r="B145" i="6"/>
  <c r="E139" i="6"/>
  <c r="E138" i="6"/>
  <c r="E137" i="6"/>
  <c r="E136" i="6"/>
  <c r="E135" i="6"/>
  <c r="E134" i="6"/>
  <c r="E133" i="6"/>
  <c r="E132" i="6"/>
  <c r="E130" i="6"/>
  <c r="E129" i="6"/>
  <c r="E128" i="6"/>
  <c r="E127" i="6"/>
  <c r="E126" i="6"/>
  <c r="E125" i="6"/>
  <c r="E124" i="6"/>
  <c r="B117" i="6"/>
  <c r="B118" i="6" s="1"/>
  <c r="B12" i="8" s="1"/>
  <c r="B116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7" i="6"/>
  <c r="E95" i="6"/>
  <c r="B88" i="6"/>
  <c r="B89" i="6" s="1"/>
  <c r="B11" i="8" s="1"/>
  <c r="B87" i="6"/>
  <c r="E81" i="6"/>
  <c r="E80" i="6"/>
  <c r="E79" i="6"/>
  <c r="E78" i="6"/>
  <c r="E77" i="6"/>
  <c r="E76" i="6"/>
  <c r="E75" i="6"/>
  <c r="E74" i="6"/>
  <c r="E73" i="6"/>
  <c r="E71" i="6"/>
  <c r="E70" i="6"/>
  <c r="E69" i="6"/>
  <c r="E68" i="6"/>
  <c r="E67" i="6"/>
  <c r="E66" i="6"/>
  <c r="B59" i="6"/>
  <c r="B60" i="6" s="1"/>
  <c r="B10" i="8" s="1"/>
  <c r="B58" i="6"/>
  <c r="E52" i="6"/>
  <c r="E51" i="6"/>
  <c r="E50" i="6"/>
  <c r="E49" i="6"/>
  <c r="E48" i="6"/>
  <c r="E47" i="6"/>
  <c r="E46" i="6"/>
  <c r="E45" i="6"/>
  <c r="E44" i="6"/>
  <c r="E43" i="6"/>
  <c r="E42" i="6"/>
  <c r="E40" i="6"/>
  <c r="E39" i="6"/>
  <c r="E38" i="6"/>
  <c r="E37" i="6"/>
  <c r="B30" i="6"/>
  <c r="B31" i="6" s="1"/>
  <c r="B9" i="8" s="1"/>
  <c r="B29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9" i="6"/>
  <c r="E8" i="6"/>
  <c r="B145" i="5"/>
  <c r="B146" i="5" s="1"/>
  <c r="B147" i="5" s="1"/>
  <c r="B8" i="8" s="1"/>
  <c r="E139" i="5"/>
  <c r="E138" i="5"/>
  <c r="E137" i="5"/>
  <c r="E136" i="5"/>
  <c r="E135" i="5"/>
  <c r="E134" i="5"/>
  <c r="E133" i="5"/>
  <c r="E132" i="5"/>
  <c r="E130" i="5"/>
  <c r="E129" i="5"/>
  <c r="E128" i="5"/>
  <c r="E127" i="5"/>
  <c r="E126" i="5"/>
  <c r="E125" i="5"/>
  <c r="E124" i="5"/>
  <c r="B116" i="5"/>
  <c r="B117" i="5" s="1"/>
  <c r="B118" i="5" s="1"/>
  <c r="B7" i="8" s="1"/>
  <c r="E110" i="5"/>
  <c r="E109" i="5"/>
  <c r="E108" i="5"/>
  <c r="E107" i="5"/>
  <c r="E106" i="5"/>
  <c r="E105" i="5"/>
  <c r="E104" i="5"/>
  <c r="E103" i="5"/>
  <c r="E102" i="5"/>
  <c r="E101" i="5"/>
  <c r="E100" i="5"/>
  <c r="E99" i="5"/>
  <c r="E97" i="5"/>
  <c r="E95" i="5"/>
  <c r="B87" i="5"/>
  <c r="B88" i="5" s="1"/>
  <c r="B89" i="5" s="1"/>
  <c r="B6" i="8" s="1"/>
  <c r="E81" i="5"/>
  <c r="E80" i="5"/>
  <c r="E79" i="5"/>
  <c r="E78" i="5"/>
  <c r="E77" i="5"/>
  <c r="E76" i="5"/>
  <c r="E75" i="5"/>
  <c r="E74" i="5"/>
  <c r="E73" i="5"/>
  <c r="E71" i="5"/>
  <c r="E70" i="5"/>
  <c r="E69" i="5"/>
  <c r="E68" i="5"/>
  <c r="E67" i="5"/>
  <c r="E66" i="5"/>
  <c r="B58" i="5"/>
  <c r="B59" i="5" s="1"/>
  <c r="B60" i="5" s="1"/>
  <c r="B5" i="8" s="1"/>
  <c r="E52" i="5"/>
  <c r="E51" i="5"/>
  <c r="E50" i="5"/>
  <c r="E49" i="5"/>
  <c r="E48" i="5"/>
  <c r="E47" i="5"/>
  <c r="E46" i="5"/>
  <c r="E45" i="5"/>
  <c r="E44" i="5"/>
  <c r="E43" i="5"/>
  <c r="B43" i="5"/>
  <c r="E42" i="5"/>
  <c r="B42" i="5"/>
  <c r="E40" i="5"/>
  <c r="E39" i="5"/>
  <c r="E38" i="5"/>
  <c r="E37" i="5"/>
  <c r="B29" i="5"/>
  <c r="B30" i="5" s="1"/>
  <c r="B31" i="5" s="1"/>
  <c r="B4" i="8" s="1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9" i="5"/>
  <c r="E8" i="5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B168" i="3"/>
  <c r="B222" i="3" s="1"/>
  <c r="B224" i="3" s="1"/>
  <c r="B225" i="3" s="1"/>
  <c r="B164" i="3"/>
  <c r="B223" i="3" s="1"/>
  <c r="B162" i="3"/>
  <c r="B161" i="3"/>
  <c r="B6" i="3"/>
  <c r="B3" i="2"/>
  <c r="E4" i="4" l="1"/>
  <c r="B83" i="5" s="1"/>
  <c r="E122" i="5"/>
  <c r="B140" i="5" s="1"/>
  <c r="E93" i="5"/>
  <c r="B111" i="5" s="1"/>
  <c r="E64" i="5"/>
  <c r="B82" i="5" s="1"/>
  <c r="E35" i="5"/>
  <c r="B53" i="5" s="1"/>
  <c r="E6" i="5"/>
  <c r="B24" i="5" s="1"/>
  <c r="E122" i="6"/>
  <c r="B140" i="6" s="1"/>
  <c r="E93" i="6"/>
  <c r="B111" i="6" s="1"/>
  <c r="E64" i="6"/>
  <c r="B82" i="6" s="1"/>
  <c r="E35" i="6"/>
  <c r="B53" i="6" s="1"/>
  <c r="E6" i="6"/>
  <c r="B24" i="6" s="1"/>
  <c r="E122" i="7"/>
  <c r="B140" i="7" s="1"/>
  <c r="E93" i="7"/>
  <c r="B111" i="7" s="1"/>
  <c r="E64" i="7"/>
  <c r="B82" i="7" s="1"/>
  <c r="E35" i="7"/>
  <c r="B53" i="7" s="1"/>
  <c r="E6" i="7"/>
  <c r="B24" i="7" s="1"/>
  <c r="B83" i="7" l="1"/>
  <c r="B112" i="7"/>
  <c r="B141" i="7"/>
  <c r="B142" i="7" s="1"/>
  <c r="B25" i="6"/>
  <c r="B83" i="6"/>
  <c r="B84" i="6" s="1"/>
  <c r="B25" i="7"/>
  <c r="B26" i="7" s="1"/>
  <c r="B141" i="5"/>
  <c r="B142" i="5" s="1"/>
  <c r="B112" i="5"/>
  <c r="B113" i="5" s="1"/>
  <c r="B54" i="6"/>
  <c r="B54" i="7"/>
  <c r="B55" i="7" s="1"/>
  <c r="B54" i="5"/>
  <c r="B55" i="5" s="1"/>
  <c r="B25" i="5"/>
  <c r="B26" i="5" s="1"/>
  <c r="B112" i="6"/>
  <c r="B113" i="6" s="1"/>
  <c r="B26" i="6"/>
  <c r="B141" i="6"/>
  <c r="B142" i="6" s="1"/>
  <c r="B84" i="5"/>
  <c r="B55" i="6"/>
  <c r="B113" i="7"/>
  <c r="B84" i="7"/>
</calcChain>
</file>

<file path=xl/sharedStrings.xml><?xml version="1.0" encoding="utf-8"?>
<sst xmlns="http://schemas.openxmlformats.org/spreadsheetml/2006/main" count="520" uniqueCount="166">
  <si>
    <t>Estructura de Costos — Milanesería</t>
  </si>
  <si>
    <t>Cómo usar esta planilla</t>
  </si>
  <si>
    <t>1.</t>
  </si>
  <si>
    <t>Cada milanesa tiene su propia receta en la hoja 'Recetas', con sus insumos específicos (cantidades pensadas para 1 kg de carne cruda). Hay filas libres por si sumás ingredientes.</t>
  </si>
  <si>
    <t>2.</t>
  </si>
  <si>
    <t>Los costos que comparten TODAS las milanesas (huevo, sal, envasado, comisión, descarte) están en 'Costos Generales' — se suman automáticamente al costo de cada receta.</t>
  </si>
  <si>
    <t>3.</t>
  </si>
  <si>
    <t>En cada receta cargás el 'Peso final del lote rebozado' (ej: 1 kg de carne + empanado rinde entre 1,30 kg y 1,40 kg de milanesas, ¡un 30% a 40% más de peso!). De ahí se calculan las unidades reales por lote.</t>
  </si>
  <si>
    <t>4.</t>
  </si>
  <si>
    <t>El 'Costo Final por Milanesa' de cada receta (celda verde) se linkea solo a 'Precios y Márgenes' — ahí cargás el precio de venta de cada una.</t>
  </si>
  <si>
    <t>5.</t>
  </si>
  <si>
    <t>Cuando agregues una receta nueva, pasámela y te armo el bloque en 'Recetas' + su fila en 'Precios y Márgenes'.</t>
  </si>
  <si>
    <t>Referencia de colores</t>
  </si>
  <si>
    <t xml:space="preserve">  </t>
  </si>
  <si>
    <t>Celda para completar (dato tuyo)</t>
  </si>
  <si>
    <t>Total fijo de una lista (siempre arriba, no se mueve)</t>
  </si>
  <si>
    <t>Celda calculada con fórmula (no tocar)</t>
  </si>
  <si>
    <t>Totales / resultados clave generales</t>
  </si>
  <si>
    <t>Costos Fijos Mensuales</t>
  </si>
  <si>
    <t>TOTAL COSTOS FIJOS MENSUALES</t>
  </si>
  <si>
    <t>Concepto</t>
  </si>
  <si>
    <t>Costo Mensual</t>
  </si>
  <si>
    <t>Notas</t>
  </si>
  <si>
    <t>Alquiler</t>
  </si>
  <si>
    <t>Expensas / ABL</t>
  </si>
  <si>
    <t>Luz</t>
  </si>
  <si>
    <t>Gas</t>
  </si>
  <si>
    <t>Puede ser alto si usás freidora a gas</t>
  </si>
  <si>
    <t>Agua</t>
  </si>
  <si>
    <t>Internet</t>
  </si>
  <si>
    <t>Sueldos fijos</t>
  </si>
  <si>
    <t>Personal en relación de dependencia</t>
  </si>
  <si>
    <t>Monotributo / Impuestos</t>
  </si>
  <si>
    <t>Contador</t>
  </si>
  <si>
    <t>Seguro del local</t>
  </si>
  <si>
    <t>Matafuegos / Fumigación</t>
  </si>
  <si>
    <t>Prorrateado mensual si se paga anual</t>
  </si>
  <si>
    <t>Otros</t>
  </si>
  <si>
    <t>Capital Aportado e Inversión Inicial</t>
  </si>
  <si>
    <t>Toda la inversión inicial se paga AL CONTADO — este negocio no financia compras ni toma deuda.</t>
  </si>
  <si>
    <t>A) Inversión Inicial (pago único, al contado)</t>
  </si>
  <si>
    <t>TOTAL INVERSIÓN INICIAL</t>
  </si>
  <si>
    <t>Monto</t>
  </si>
  <si>
    <t>Heladera / freezer</t>
  </si>
  <si>
    <t>Anafe / cocina</t>
  </si>
  <si>
    <t>Campana extractora</t>
  </si>
  <si>
    <t>Máquina de fileteado / ablandadora</t>
  </si>
  <si>
    <t>Si vas a fabricar vos mismo</t>
  </si>
  <si>
    <t>Mesada de acero inoxidable / rebozado</t>
  </si>
  <si>
    <t>Vitrina / mostrador</t>
  </si>
  <si>
    <t>Mobiliario general</t>
  </si>
  <si>
    <t>Adecuación del local (pintura, instalación eléctrica, etc.)</t>
  </si>
  <si>
    <t>Habilitación municipal / bromatología</t>
  </si>
  <si>
    <t>Cartelería / identidad de marca</t>
  </si>
  <si>
    <t>Envasadora al vacío</t>
  </si>
  <si>
    <t>Stock inicial de mercadería</t>
  </si>
  <si>
    <t>Imprevistos / contingencia</t>
  </si>
  <si>
    <t>Recomendado: 10-15% del total</t>
  </si>
  <si>
    <t>B) Capital de Trabajo Inicial (colchón para primeros meses)</t>
  </si>
  <si>
    <t>Meses de costos fijos a cubrir antes de alcanzar el punto de equilibrio</t>
  </si>
  <si>
    <t>Costos fijos mensuales (de la hoja 'Costos Fijos')</t>
  </si>
  <si>
    <t>TOTAL CAPITAL DE TRABAJO INICIAL</t>
  </si>
  <si>
    <t>TOTAL DE FONDOS NECESARIOS (Inversión + Capital de trabajo)</t>
  </si>
  <si>
    <t>C) Aportes de Capital (socios / capital propio — sin financiamiento)</t>
  </si>
  <si>
    <t>TOTAL CAPITAL APORTADO</t>
  </si>
  <si>
    <t>Aportante</t>
  </si>
  <si>
    <t>Monto aportado</t>
  </si>
  <si>
    <t>Socio 1</t>
  </si>
  <si>
    <t>Socio 2</t>
  </si>
  <si>
    <t>D) Verificación</t>
  </si>
  <si>
    <t>Total Capital Aportado</t>
  </si>
  <si>
    <t>Total de Fondos Necesarios</t>
  </si>
  <si>
    <t>Diferencia (Excedente / Faltante)</t>
  </si>
  <si>
    <t>Estado</t>
  </si>
  <si>
    <t>Costos Generales (compartidos por todas las milanesas)</t>
  </si>
  <si>
    <t>A) Costos Generales POR LOTE (por kg de carne procesada)</t>
  </si>
  <si>
    <t>TOTAL GENERALES POR LOTE</t>
  </si>
  <si>
    <t>Insumo</t>
  </si>
  <si>
    <t>Cantidad</t>
  </si>
  <si>
    <t>Unidad</t>
  </si>
  <si>
    <t>Costo unitario
($ por la unidad elegida)</t>
  </si>
  <si>
    <t>Costo de la línea</t>
  </si>
  <si>
    <t>Huevo</t>
  </si>
  <si>
    <t>unidades</t>
  </si>
  <si>
    <t>Sal</t>
  </si>
  <si>
    <t>g</t>
  </si>
  <si>
    <t>unidad</t>
  </si>
  <si>
    <t>B) Parámetros generales</t>
  </si>
  <si>
    <t>Comisión tarjeta / app (%)</t>
  </si>
  <si>
    <t>% Margen de seguridad / desperdicio (opcional)</t>
  </si>
  <si>
    <t>Recetas — Pollo</t>
  </si>
  <si>
    <t>Todas las cantidades de cada receta están pensadas para procesar 1 kg de carne cruda.</t>
  </si>
  <si>
    <t>Suprema Tradicional (Pollo)</t>
  </si>
  <si>
    <t>TOTAL INSUMOS ESPECÍFICOS (por kg de carne)</t>
  </si>
  <si>
    <t>Costo unitario</t>
  </si>
  <si>
    <t>Provenzal</t>
  </si>
  <si>
    <t>Costo Insumos Específicos (por kg carne)</t>
  </si>
  <si>
    <t>Costos Generales por Lote (huevo, sal, etc.)</t>
  </si>
  <si>
    <t>Costo Total del Lote (subtotal)</t>
  </si>
  <si>
    <t>Peso final del lote rebozado (kg) [Ej: 1.35 a 1.40 kg por kg carne]</t>
  </si>
  <si>
    <t>Peso por milanesa (g)</t>
  </si>
  <si>
    <t>Unidades por lote</t>
  </si>
  <si>
    <t>Costo del lote por unidad</t>
  </si>
  <si>
    <t>COSTO FINAL POR MILANESA</t>
  </si>
  <si>
    <t>Suprema Parmesana (Pollo)</t>
  </si>
  <si>
    <t>Mostaza</t>
  </si>
  <si>
    <t>Ajo en polvo</t>
  </si>
  <si>
    <t>Pimienta</t>
  </si>
  <si>
    <t>Suprema Crunch (Pollo)</t>
  </si>
  <si>
    <t>Cebolla en polvo</t>
  </si>
  <si>
    <t>Pimienta negra</t>
  </si>
  <si>
    <t>Suprema Rellena (Pollo)</t>
  </si>
  <si>
    <t>cucharadas</t>
  </si>
  <si>
    <t>Tomillo</t>
  </si>
  <si>
    <t>Romero</t>
  </si>
  <si>
    <t>Recetas — Vaca</t>
  </si>
  <si>
    <t>Milanesa de Bola de Lomo Rellena (Vaca)</t>
  </si>
  <si>
    <t>Milanesa Ajo y Perejil (Vaca)</t>
  </si>
  <si>
    <t>Recetas — Cerdo</t>
  </si>
  <si>
    <t>Precios de Venta y Márgenes por Receta</t>
  </si>
  <si>
    <t>Receta</t>
  </si>
  <si>
    <t>Costo variable
unitario</t>
  </si>
  <si>
    <t>Precio de venta</t>
  </si>
  <si>
    <t>Margen $</t>
  </si>
  <si>
    <t>Margen %
(sobre precio)</t>
  </si>
  <si>
    <t>Food cost %</t>
  </si>
  <si>
    <t>PROMEDIO</t>
  </si>
  <si>
    <t>Punto de Equilibrio Mensual</t>
  </si>
  <si>
    <t>Total costos fijos mensuales</t>
  </si>
  <si>
    <t>Margen de contribución promedio
por milanesa</t>
  </si>
  <si>
    <t>MILANESAS A VENDER POR MES
para cubrir costos fijos</t>
  </si>
  <si>
    <t>...equivalente por día
(26 días/mes)</t>
  </si>
  <si>
    <t>Este cálculo usa el margen de contribución PROMEDIO de las recetas con precio cargado en 'Precios y Márgenes'. Si el margen promedio es negativo o cero, no hay punto de equilibrio posible con los precios actuales.</t>
  </si>
  <si>
    <t>Suprema Finas Hierbas (Pollo)</t>
  </si>
  <si>
    <t xml:space="preserve">Vacuno Tradicional </t>
  </si>
  <si>
    <t>Vacuno Ahumado</t>
  </si>
  <si>
    <t>Vacuno Picante</t>
  </si>
  <si>
    <t>Cerdo Tradicional</t>
  </si>
  <si>
    <t>Cerdo Ahumado</t>
  </si>
  <si>
    <t>Cerdo Fugazzeta</t>
  </si>
  <si>
    <t>Cerdo Mostaza y Miel</t>
  </si>
  <si>
    <t xml:space="preserve">Etiqueta </t>
  </si>
  <si>
    <t>Bandeja</t>
  </si>
  <si>
    <t>Oregano</t>
  </si>
  <si>
    <t>Pechuga de pollo</t>
  </si>
  <si>
    <t>Pan rayado</t>
  </si>
  <si>
    <t>Rebozador</t>
  </si>
  <si>
    <t>Parmesano</t>
  </si>
  <si>
    <t xml:space="preserve">Oregano </t>
  </si>
  <si>
    <t xml:space="preserve">Pimenton dulce </t>
  </si>
  <si>
    <t>Perejil</t>
  </si>
  <si>
    <t>Cereales</t>
  </si>
  <si>
    <t>Pechuga</t>
  </si>
  <si>
    <t xml:space="preserve">Jamon </t>
  </si>
  <si>
    <t>Queso</t>
  </si>
  <si>
    <t xml:space="preserve">Oliva </t>
  </si>
  <si>
    <t>Laurel</t>
  </si>
  <si>
    <t>Pimenton</t>
  </si>
  <si>
    <t>Rebozdor</t>
  </si>
  <si>
    <t>Cerdo</t>
  </si>
  <si>
    <t>Pimenton ahumado</t>
  </si>
  <si>
    <t xml:space="preserve">Pimienta </t>
  </si>
  <si>
    <t>Cebolla</t>
  </si>
  <si>
    <t>Indefinido</t>
  </si>
  <si>
    <t>Miel</t>
  </si>
  <si>
    <t>Carne Vaca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</si>
</sst>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\$#,##0;&quot;($&quot;#,##0\);\-"/>
    <numFmt numFmtId="165" formatCode="0.0"/>
    <numFmt numFmtId="166" formatCode="\$#,##0.00;&quot;($&quot;#,##0.00\);\-"/>
    <numFmt numFmtId="167" formatCode="0.0%"/>
    <numFmt numFmtId="168" formatCode="0.000"/>
  </numFmts>
  <fonts count="22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2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b/>
      <sz val="11"/>
      <color rgb="FF000000"/>
      <name val="Arial"/>
      <charset val="1"/>
    </font>
    <font>
      <b/>
      <sz val="11"/>
      <color rgb="FFFFFFFF"/>
      <name val="Arial"/>
      <charset val="1"/>
    </font>
    <font>
      <sz val="11"/>
      <color rgb="FF000000"/>
      <name val="Arial"/>
      <charset val="1"/>
    </font>
    <font>
      <sz val="11"/>
      <color rgb="FF0000FF"/>
      <name val="Arial"/>
      <charset val="1"/>
    </font>
    <font>
      <i/>
      <sz val="9"/>
      <color rgb="FF808080"/>
      <name val="Arial"/>
      <charset val="1"/>
    </font>
    <font>
      <b/>
      <i/>
      <sz val="10"/>
      <color rgb="FFC00000"/>
      <name val="Arial"/>
      <charset val="1"/>
    </font>
    <font>
      <b/>
      <sz val="14"/>
      <color rgb="FFFFFFFF"/>
      <name val="Arial"/>
    </font>
    <font>
      <i/>
      <sz val="9"/>
      <color rgb="FF808080"/>
      <name val="Arial"/>
    </font>
    <font>
      <b/>
      <sz val="12"/>
      <color rgb="FFFFFFFF"/>
      <name val="Arial"/>
    </font>
    <font>
      <sz val="11"/>
      <color theme="1"/>
      <name val="Calibri"/>
    </font>
    <font>
      <b/>
      <sz val="11"/>
      <color rgb="FF000000"/>
      <name val="Arial"/>
    </font>
    <font>
      <b/>
      <sz val="11"/>
      <color rgb="FFFFFFFF"/>
      <name val="Arial"/>
    </font>
    <font>
      <sz val="11"/>
      <color rgb="FF000000"/>
      <name val="Arial"/>
    </font>
    <font>
      <sz val="11"/>
      <color rgb="FF0000FF"/>
      <name val="Arial"/>
    </font>
    <font>
      <b/>
      <i/>
      <sz val="9"/>
      <name val="Arial"/>
    </font>
    <font>
      <sz val="10"/>
      <name val="Arial"/>
    </font>
    <font>
      <b/>
      <sz val="10"/>
      <name val="Arial"/>
    </font>
  </fonts>
  <fills count="10">
    <fill>
      <patternFill patternType="none"/>
    </fill>
    <fill>
      <patternFill patternType="gray125"/>
    </fill>
    <fill>
      <patternFill patternType="solid">
        <fgColor rgb="FF7F1416"/>
        <bgColor rgb="FF800000"/>
      </patternFill>
    </fill>
    <fill>
      <patternFill patternType="solid">
        <fgColor rgb="FFFFFF00"/>
        <bgColor rgb="FFFFFF00"/>
      </patternFill>
    </fill>
    <fill>
      <patternFill patternType="solid">
        <fgColor rgb="FFFFE699"/>
        <bgColor rgb="FFFFCC99"/>
      </patternFill>
    </fill>
    <fill>
      <patternFill patternType="solid">
        <fgColor rgb="FFFCE4D6"/>
        <bgColor rgb="FFE2EFDA"/>
      </patternFill>
    </fill>
    <fill>
      <patternFill patternType="solid">
        <fgColor rgb="FF4472C4"/>
        <bgColor rgb="FF666699"/>
      </patternFill>
    </fill>
    <fill>
      <patternFill patternType="solid">
        <fgColor rgb="FFE2EFDA"/>
        <bgColor rgb="FFFCE4D6"/>
      </patternFill>
    </fill>
    <fill>
      <patternFill patternType="solid">
        <fgColor rgb="FF548235"/>
        <bgColor rgb="FF339966"/>
      </patternFill>
    </fill>
    <fill>
      <patternFill patternType="solid">
        <fgColor rgb="FFC6E0B4"/>
        <bgColor rgb="FFE2EFDA"/>
      </patternFill>
    </fill>
  </fills>
  <borders count="6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68">
    <xf numFmtId="0" fontId="0" fillId="0" borderId="0" xfId="0" applyAlignment="1"/>
    <xf numFmtId="0" fontId="0" fillId="0" borderId="0" xfId="0" applyAlignment="1"/>
    <xf numFmtId="0" fontId="0" fillId="0" borderId="0" xfId="0"/>
    <xf numFmtId="0" fontId="2" fillId="0" borderId="0" xfId="0" applyFont="1" applyAlignment="1"/>
    <xf numFmtId="0" fontId="3" fillId="0" borderId="0" xfId="0" applyFont="1" applyAlignment="1"/>
    <xf numFmtId="0" fontId="0" fillId="3" borderId="1" xfId="0" applyFill="1" applyBorder="1" applyAlignment="1"/>
    <xf numFmtId="0" fontId="4" fillId="0" borderId="0" xfId="0" applyFont="1" applyAlignment="1"/>
    <xf numFmtId="0" fontId="0" fillId="4" borderId="1" xfId="0" applyFill="1" applyBorder="1" applyAlignment="1"/>
    <xf numFmtId="0" fontId="0" fillId="0" borderId="1" xfId="0" applyBorder="1" applyAlignment="1"/>
    <xf numFmtId="0" fontId="0" fillId="5" borderId="1" xfId="0" applyFill="1" applyBorder="1" applyAlignment="1"/>
    <xf numFmtId="0" fontId="5" fillId="4" borderId="1" xfId="0" applyFont="1" applyFill="1" applyBorder="1" applyAlignment="1"/>
    <xf numFmtId="164" fontId="5" fillId="4" borderId="1" xfId="0" applyNumberFormat="1" applyFont="1" applyFill="1" applyBorder="1" applyAlignment="1"/>
    <xf numFmtId="0" fontId="6" fillId="6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/>
    <xf numFmtId="164" fontId="8" fillId="3" borderId="1" xfId="0" applyNumberFormat="1" applyFont="1" applyFill="1" applyBorder="1" applyAlignment="1"/>
    <xf numFmtId="0" fontId="9" fillId="0" borderId="1" xfId="0" applyFont="1" applyBorder="1" applyAlignment="1"/>
    <xf numFmtId="0" fontId="8" fillId="3" borderId="1" xfId="0" applyFont="1" applyFill="1" applyBorder="1" applyAlignment="1"/>
    <xf numFmtId="165" fontId="8" fillId="3" borderId="1" xfId="0" applyNumberFormat="1" applyFont="1" applyFill="1" applyBorder="1" applyAlignment="1"/>
    <xf numFmtId="164" fontId="7" fillId="0" borderId="1" xfId="0" applyNumberFormat="1" applyFont="1" applyBorder="1" applyAlignment="1"/>
    <xf numFmtId="0" fontId="5" fillId="5" borderId="1" xfId="0" applyFont="1" applyFill="1" applyBorder="1" applyAlignment="1"/>
    <xf numFmtId="164" fontId="5" fillId="5" borderId="1" xfId="0" applyNumberFormat="1" applyFont="1" applyFill="1" applyBorder="1" applyAlignment="1"/>
    <xf numFmtId="0" fontId="5" fillId="7" borderId="1" xfId="0" applyFont="1" applyFill="1" applyBorder="1" applyAlignment="1"/>
    <xf numFmtId="164" fontId="5" fillId="7" borderId="1" xfId="0" applyNumberFormat="1" applyFont="1" applyFill="1" applyBorder="1" applyAlignment="1"/>
    <xf numFmtId="0" fontId="5" fillId="7" borderId="1" xfId="0" applyFont="1" applyFill="1" applyBorder="1" applyAlignment="1">
      <alignment horizontal="center"/>
    </xf>
    <xf numFmtId="166" fontId="5" fillId="4" borderId="1" xfId="0" applyNumberFormat="1" applyFont="1" applyFill="1" applyBorder="1" applyAlignment="1"/>
    <xf numFmtId="2" fontId="8" fillId="3" borderId="1" xfId="0" applyNumberFormat="1" applyFont="1" applyFill="1" applyBorder="1" applyAlignment="1"/>
    <xf numFmtId="166" fontId="8" fillId="3" borderId="1" xfId="0" applyNumberFormat="1" applyFont="1" applyFill="1" applyBorder="1" applyAlignment="1"/>
    <xf numFmtId="166" fontId="7" fillId="0" borderId="1" xfId="0" applyNumberFormat="1" applyFont="1" applyBorder="1" applyAlignment="1"/>
    <xf numFmtId="167" fontId="8" fillId="3" borderId="1" xfId="0" applyNumberFormat="1" applyFont="1" applyFill="1" applyBorder="1" applyAlignment="1"/>
    <xf numFmtId="166" fontId="15" fillId="4" borderId="5" xfId="0" applyNumberFormat="1" applyFont="1" applyFill="1" applyBorder="1" applyAlignment="1"/>
    <xf numFmtId="0" fontId="14" fillId="0" borderId="4" xfId="0" applyFont="1" applyBorder="1"/>
    <xf numFmtId="0" fontId="16" fillId="6" borderId="5" xfId="0" applyFont="1" applyFill="1" applyBorder="1" applyAlignment="1">
      <alignment horizontal="center" vertical="center" wrapText="1"/>
    </xf>
    <xf numFmtId="0" fontId="17" fillId="0" borderId="5" xfId="0" applyFont="1" applyBorder="1" applyAlignment="1"/>
    <xf numFmtId="2" fontId="18" fillId="3" borderId="5" xfId="0" applyNumberFormat="1" applyFont="1" applyFill="1" applyBorder="1" applyAlignment="1"/>
    <xf numFmtId="166" fontId="18" fillId="3" borderId="5" xfId="0" applyNumberFormat="1" applyFont="1" applyFill="1" applyBorder="1" applyAlignment="1"/>
    <xf numFmtId="166" fontId="17" fillId="0" borderId="5" xfId="0" applyNumberFormat="1" applyFont="1" applyBorder="1" applyAlignment="1"/>
    <xf numFmtId="0" fontId="19" fillId="0" borderId="5" xfId="0" applyFont="1" applyBorder="1" applyAlignment="1"/>
    <xf numFmtId="1" fontId="18" fillId="3" borderId="5" xfId="0" applyNumberFormat="1" applyFont="1" applyFill="1" applyBorder="1" applyAlignment="1"/>
    <xf numFmtId="0" fontId="14" fillId="0" borderId="5" xfId="0" applyFont="1" applyBorder="1" applyAlignment="1"/>
    <xf numFmtId="165" fontId="17" fillId="0" borderId="5" xfId="0" applyNumberFormat="1" applyFont="1" applyBorder="1" applyAlignment="1"/>
    <xf numFmtId="0" fontId="18" fillId="3" borderId="5" xfId="0" applyFont="1" applyFill="1" applyBorder="1" applyAlignment="1"/>
    <xf numFmtId="0" fontId="15" fillId="5" borderId="5" xfId="0" applyFont="1" applyFill="1" applyBorder="1" applyAlignment="1"/>
    <xf numFmtId="166" fontId="15" fillId="5" borderId="5" xfId="0" applyNumberFormat="1" applyFont="1" applyFill="1" applyBorder="1" applyAlignment="1"/>
    <xf numFmtId="168" fontId="18" fillId="3" borderId="5" xfId="0" applyNumberFormat="1" applyFont="1" applyFill="1" applyBorder="1" applyAlignment="1"/>
    <xf numFmtId="2" fontId="17" fillId="0" borderId="5" xfId="0" applyNumberFormat="1" applyFont="1" applyBorder="1" applyAlignment="1"/>
    <xf numFmtId="0" fontId="15" fillId="9" borderId="5" xfId="0" applyFont="1" applyFill="1" applyBorder="1" applyAlignment="1"/>
    <xf numFmtId="166" fontId="15" fillId="9" borderId="5" xfId="0" applyNumberFormat="1" applyFont="1" applyFill="1" applyBorder="1" applyAlignment="1"/>
    <xf numFmtId="0" fontId="20" fillId="0" borderId="5" xfId="0" applyFont="1" applyBorder="1" applyAlignment="1"/>
    <xf numFmtId="0" fontId="21" fillId="3" borderId="1" xfId="0" applyFont="1" applyFill="1" applyBorder="1" applyAlignment="1"/>
    <xf numFmtId="0" fontId="21" fillId="0" borderId="1" xfId="0" applyFont="1" applyBorder="1" applyAlignment="1"/>
    <xf numFmtId="164" fontId="21" fillId="3" borderId="1" xfId="0" applyNumberFormat="1" applyFont="1" applyFill="1" applyBorder="1" applyAlignment="1"/>
    <xf numFmtId="167" fontId="5" fillId="5" borderId="1" xfId="0" applyNumberFormat="1" applyFont="1" applyFill="1" applyBorder="1" applyAlignment="1"/>
    <xf numFmtId="0" fontId="7" fillId="0" borderId="1" xfId="0" applyFont="1" applyBorder="1" applyAlignment="1">
      <alignment wrapText="1"/>
    </xf>
    <xf numFmtId="0" fontId="5" fillId="5" borderId="1" xfId="0" applyFont="1" applyFill="1" applyBorder="1" applyAlignment="1">
      <alignment wrapText="1"/>
    </xf>
    <xf numFmtId="0" fontId="4" fillId="0" borderId="0" xfId="0" applyFont="1" applyAlignment="1">
      <alignment vertical="center" wrapText="1"/>
    </xf>
    <xf numFmtId="0" fontId="0" fillId="0" borderId="0" xfId="0" applyAlignment="1"/>
    <xf numFmtId="0" fontId="1" fillId="2" borderId="0" xfId="0" applyFont="1" applyFill="1" applyAlignment="1">
      <alignment horizontal="left" vertical="center" indent="1"/>
    </xf>
    <xf numFmtId="0" fontId="10" fillId="0" borderId="0" xfId="0" applyFont="1" applyAlignment="1"/>
    <xf numFmtId="0" fontId="5" fillId="4" borderId="1" xfId="0" applyFont="1" applyFill="1" applyBorder="1" applyAlignment="1"/>
    <xf numFmtId="0" fontId="0" fillId="0" borderId="2" xfId="0" applyBorder="1"/>
    <xf numFmtId="0" fontId="0" fillId="0" borderId="3" xfId="0" applyBorder="1"/>
    <xf numFmtId="0" fontId="13" fillId="8" borderId="4" xfId="0" applyFont="1" applyFill="1" applyBorder="1" applyAlignment="1">
      <alignment horizontal="left" vertical="center"/>
    </xf>
    <xf numFmtId="0" fontId="0" fillId="0" borderId="0" xfId="0"/>
    <xf numFmtId="0" fontId="15" fillId="4" borderId="5" xfId="0" applyFont="1" applyFill="1" applyBorder="1" applyAlignment="1"/>
    <xf numFmtId="0" fontId="11" fillId="2" borderId="4" xfId="0" applyFont="1" applyFill="1" applyBorder="1" applyAlignment="1">
      <alignment horizontal="left" vertical="center"/>
    </xf>
    <xf numFmtId="0" fontId="12" fillId="0" borderId="4" xfId="0" applyFont="1" applyBorder="1" applyAlignment="1"/>
    <xf numFmtId="0" fontId="9" fillId="0" borderId="0" xfId="0" applyFont="1" applyAlignment="1"/>
    <xf numFmtId="0" fontId="9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7F1416"/>
      <rgbColor rgb="FF008000"/>
      <rgbColor rgb="FF000080"/>
      <rgbColor rgb="FF548235"/>
      <rgbColor rgb="FF800080"/>
      <rgbColor rgb="FF008080"/>
      <rgbColor rgb="FFB7B7B7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6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showGridLines="0" zoomScaleNormal="100" workbookViewId="0">
      <selection sqref="A1:F1"/>
    </sheetView>
  </sheetViews>
  <sheetFormatPr baseColWidth="10" defaultColWidth="8.7109375" defaultRowHeight="15" x14ac:dyDescent="0.25"/>
  <cols>
    <col min="1" max="1" width="30" style="1" customWidth="1"/>
    <col min="2" max="2" width="40" style="1" customWidth="1"/>
    <col min="3" max="6" width="20" style="1" customWidth="1"/>
  </cols>
  <sheetData>
    <row r="1" spans="1:6" ht="27.75" customHeight="1" x14ac:dyDescent="0.25">
      <c r="A1" s="56" t="s">
        <v>0</v>
      </c>
      <c r="B1" s="55"/>
      <c r="C1" s="55"/>
      <c r="D1" s="55"/>
      <c r="E1" s="55"/>
      <c r="F1" s="55"/>
    </row>
    <row r="3" spans="1:6" ht="15" customHeight="1" x14ac:dyDescent="0.25">
      <c r="A3" s="3" t="s">
        <v>1</v>
      </c>
    </row>
    <row r="5" spans="1:6" ht="33.75" customHeight="1" x14ac:dyDescent="0.25">
      <c r="A5" s="4" t="s">
        <v>2</v>
      </c>
      <c r="B5" s="54" t="s">
        <v>3</v>
      </c>
      <c r="C5" s="55"/>
      <c r="D5" s="55"/>
      <c r="E5" s="55"/>
      <c r="F5" s="55"/>
    </row>
    <row r="6" spans="1:6" ht="33.75" customHeight="1" x14ac:dyDescent="0.25">
      <c r="A6" s="4" t="s">
        <v>4</v>
      </c>
      <c r="B6" s="54" t="s">
        <v>5</v>
      </c>
      <c r="C6" s="55"/>
      <c r="D6" s="55"/>
      <c r="E6" s="55"/>
      <c r="F6" s="55"/>
    </row>
    <row r="7" spans="1:6" ht="33.75" customHeight="1" x14ac:dyDescent="0.25">
      <c r="A7" s="4" t="s">
        <v>6</v>
      </c>
      <c r="B7" s="54" t="s">
        <v>7</v>
      </c>
      <c r="C7" s="55"/>
      <c r="D7" s="55"/>
      <c r="E7" s="55"/>
      <c r="F7" s="55"/>
    </row>
    <row r="8" spans="1:6" ht="33.75" customHeight="1" x14ac:dyDescent="0.25">
      <c r="A8" s="4" t="s">
        <v>8</v>
      </c>
      <c r="B8" s="54" t="s">
        <v>9</v>
      </c>
      <c r="C8" s="55"/>
      <c r="D8" s="55"/>
      <c r="E8" s="55"/>
      <c r="F8" s="55"/>
    </row>
    <row r="9" spans="1:6" ht="33.75" customHeight="1" x14ac:dyDescent="0.25">
      <c r="A9" s="4" t="s">
        <v>10</v>
      </c>
      <c r="B9" s="54" t="s">
        <v>11</v>
      </c>
      <c r="C9" s="55"/>
      <c r="D9" s="55"/>
      <c r="E9" s="55"/>
      <c r="F9" s="55"/>
    </row>
    <row r="11" spans="1:6" ht="15" customHeight="1" x14ac:dyDescent="0.25">
      <c r="A11" s="3" t="s">
        <v>12</v>
      </c>
    </row>
    <row r="13" spans="1:6" ht="15" customHeight="1" x14ac:dyDescent="0.25">
      <c r="A13" s="5" t="s">
        <v>13</v>
      </c>
      <c r="B13" s="6" t="s">
        <v>14</v>
      </c>
    </row>
    <row r="14" spans="1:6" ht="15" customHeight="1" x14ac:dyDescent="0.25">
      <c r="A14" s="7" t="s">
        <v>13</v>
      </c>
      <c r="B14" s="6" t="s">
        <v>15</v>
      </c>
    </row>
    <row r="15" spans="1:6" ht="15" customHeight="1" x14ac:dyDescent="0.25">
      <c r="A15" s="8" t="s">
        <v>13</v>
      </c>
      <c r="B15" s="6" t="s">
        <v>16</v>
      </c>
    </row>
    <row r="16" spans="1:6" ht="15" customHeight="1" x14ac:dyDescent="0.25">
      <c r="A16" s="9" t="s">
        <v>13</v>
      </c>
      <c r="B16" s="6" t="s">
        <v>17</v>
      </c>
    </row>
  </sheetData>
  <mergeCells count="6">
    <mergeCell ref="B9:F9"/>
    <mergeCell ref="B7:F7"/>
    <mergeCell ref="B6:F6"/>
    <mergeCell ref="A1:F1"/>
    <mergeCell ref="B5:F5"/>
    <mergeCell ref="B8:F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5"/>
  <sheetViews>
    <sheetView showGridLines="0" zoomScaleNormal="100" workbookViewId="0">
      <pane ySplit="5" topLeftCell="A6" activePane="bottomLeft" state="frozen"/>
      <selection pane="bottomLeft" sqref="A1:C1"/>
    </sheetView>
  </sheetViews>
  <sheetFormatPr baseColWidth="10" defaultColWidth="8.7109375" defaultRowHeight="15" x14ac:dyDescent="0.25"/>
  <cols>
    <col min="1" max="1" width="30" style="1" customWidth="1"/>
    <col min="2" max="2" width="18" style="1" customWidth="1"/>
    <col min="3" max="3" width="42" style="1" customWidth="1"/>
  </cols>
  <sheetData>
    <row r="1" spans="1:3" ht="25.5" customHeight="1" x14ac:dyDescent="0.25">
      <c r="A1" s="56" t="s">
        <v>18</v>
      </c>
      <c r="B1" s="55"/>
      <c r="C1" s="55"/>
    </row>
    <row r="3" spans="1:3" ht="24" customHeight="1" x14ac:dyDescent="0.25">
      <c r="A3" s="10" t="s">
        <v>19</v>
      </c>
      <c r="B3" s="11">
        <f>SUM(B6:B205)</f>
        <v>1765000</v>
      </c>
      <c r="C3" s="7"/>
    </row>
    <row r="5" spans="1:3" ht="27.75" customHeight="1" x14ac:dyDescent="0.25">
      <c r="A5" s="12" t="s">
        <v>20</v>
      </c>
      <c r="B5" s="12" t="s">
        <v>21</v>
      </c>
      <c r="C5" s="12" t="s">
        <v>22</v>
      </c>
    </row>
    <row r="6" spans="1:3" ht="15" customHeight="1" x14ac:dyDescent="0.25">
      <c r="A6" s="13" t="s">
        <v>23</v>
      </c>
      <c r="B6" s="14">
        <v>400000</v>
      </c>
      <c r="C6" s="15"/>
    </row>
    <row r="7" spans="1:3" ht="15" customHeight="1" x14ac:dyDescent="0.25">
      <c r="A7" s="13" t="s">
        <v>24</v>
      </c>
      <c r="B7" s="14">
        <v>60000</v>
      </c>
      <c r="C7" s="15"/>
    </row>
    <row r="8" spans="1:3" ht="15" customHeight="1" x14ac:dyDescent="0.25">
      <c r="A8" s="13" t="s">
        <v>25</v>
      </c>
      <c r="B8" s="14">
        <v>90000</v>
      </c>
      <c r="C8" s="15"/>
    </row>
    <row r="9" spans="1:3" ht="15" customHeight="1" x14ac:dyDescent="0.25">
      <c r="A9" s="13" t="s">
        <v>26</v>
      </c>
      <c r="B9" s="14">
        <v>70000</v>
      </c>
      <c r="C9" s="15" t="s">
        <v>27</v>
      </c>
    </row>
    <row r="10" spans="1:3" ht="15" customHeight="1" x14ac:dyDescent="0.25">
      <c r="A10" s="13" t="s">
        <v>28</v>
      </c>
      <c r="B10" s="14">
        <v>15000</v>
      </c>
      <c r="C10" s="15"/>
    </row>
    <row r="11" spans="1:3" ht="15" customHeight="1" x14ac:dyDescent="0.25">
      <c r="A11" s="13" t="s">
        <v>29</v>
      </c>
      <c r="B11" s="14">
        <v>25000</v>
      </c>
      <c r="C11" s="15"/>
    </row>
    <row r="12" spans="1:3" ht="15" customHeight="1" x14ac:dyDescent="0.25">
      <c r="A12" s="13" t="s">
        <v>30</v>
      </c>
      <c r="B12" s="14">
        <v>900000</v>
      </c>
      <c r="C12" s="15" t="s">
        <v>31</v>
      </c>
    </row>
    <row r="13" spans="1:3" ht="15" customHeight="1" x14ac:dyDescent="0.25">
      <c r="A13" s="13" t="s">
        <v>32</v>
      </c>
      <c r="B13" s="14">
        <v>80000</v>
      </c>
      <c r="C13" s="15"/>
    </row>
    <row r="14" spans="1:3" ht="15" customHeight="1" x14ac:dyDescent="0.25">
      <c r="A14" s="13" t="s">
        <v>33</v>
      </c>
      <c r="B14" s="14">
        <v>60000</v>
      </c>
      <c r="C14" s="15"/>
    </row>
    <row r="15" spans="1:3" ht="15" customHeight="1" x14ac:dyDescent="0.25">
      <c r="A15" s="13" t="s">
        <v>34</v>
      </c>
      <c r="B15" s="14">
        <v>20000</v>
      </c>
      <c r="C15" s="15"/>
    </row>
    <row r="16" spans="1:3" ht="15" customHeight="1" x14ac:dyDescent="0.25">
      <c r="A16" s="13" t="s">
        <v>35</v>
      </c>
      <c r="B16" s="14">
        <v>15000</v>
      </c>
      <c r="C16" s="15" t="s">
        <v>36</v>
      </c>
    </row>
    <row r="17" spans="1:3" ht="15" customHeight="1" x14ac:dyDescent="0.25">
      <c r="A17" s="13" t="s">
        <v>37</v>
      </c>
      <c r="B17" s="14">
        <v>30000</v>
      </c>
      <c r="C17" s="15"/>
    </row>
    <row r="18" spans="1:3" ht="15" customHeight="1" x14ac:dyDescent="0.25">
      <c r="A18" s="16"/>
      <c r="B18" s="14"/>
      <c r="C18" s="8"/>
    </row>
    <row r="19" spans="1:3" ht="15" customHeight="1" x14ac:dyDescent="0.25">
      <c r="A19" s="16"/>
      <c r="B19" s="14"/>
      <c r="C19" s="8"/>
    </row>
    <row r="20" spans="1:3" ht="15" customHeight="1" x14ac:dyDescent="0.25">
      <c r="A20" s="16"/>
      <c r="B20" s="14"/>
      <c r="C20" s="8"/>
    </row>
    <row r="21" spans="1:3" ht="15" customHeight="1" x14ac:dyDescent="0.25">
      <c r="A21" s="16"/>
      <c r="B21" s="14"/>
      <c r="C21" s="8"/>
    </row>
    <row r="22" spans="1:3" ht="15" customHeight="1" x14ac:dyDescent="0.25">
      <c r="A22" s="16"/>
      <c r="B22" s="14"/>
      <c r="C22" s="8"/>
    </row>
    <row r="23" spans="1:3" ht="15" customHeight="1" x14ac:dyDescent="0.25">
      <c r="A23" s="16"/>
      <c r="B23" s="14"/>
      <c r="C23" s="8"/>
    </row>
    <row r="24" spans="1:3" ht="15" customHeight="1" x14ac:dyDescent="0.25">
      <c r="A24" s="16"/>
      <c r="B24" s="14"/>
      <c r="C24" s="8"/>
    </row>
    <row r="25" spans="1:3" ht="15" customHeight="1" x14ac:dyDescent="0.25">
      <c r="A25" s="16"/>
      <c r="B25" s="14"/>
      <c r="C25" s="8"/>
    </row>
    <row r="26" spans="1:3" ht="15" customHeight="1" x14ac:dyDescent="0.25">
      <c r="A26" s="16"/>
      <c r="B26" s="14"/>
      <c r="C26" s="8"/>
    </row>
    <row r="27" spans="1:3" ht="15" customHeight="1" x14ac:dyDescent="0.25">
      <c r="A27" s="16"/>
      <c r="B27" s="14"/>
      <c r="C27" s="8"/>
    </row>
    <row r="28" spans="1:3" ht="15" customHeight="1" x14ac:dyDescent="0.25">
      <c r="A28" s="16"/>
      <c r="B28" s="14"/>
      <c r="C28" s="8"/>
    </row>
    <row r="29" spans="1:3" ht="15" customHeight="1" x14ac:dyDescent="0.25">
      <c r="A29" s="16"/>
      <c r="B29" s="14"/>
      <c r="C29" s="8"/>
    </row>
    <row r="30" spans="1:3" ht="15" customHeight="1" x14ac:dyDescent="0.25">
      <c r="A30" s="16"/>
      <c r="B30" s="14"/>
      <c r="C30" s="8"/>
    </row>
    <row r="31" spans="1:3" ht="15" customHeight="1" x14ac:dyDescent="0.25">
      <c r="A31" s="16"/>
      <c r="B31" s="14"/>
      <c r="C31" s="8"/>
    </row>
    <row r="32" spans="1:3" ht="15" customHeight="1" x14ac:dyDescent="0.25">
      <c r="A32" s="16"/>
      <c r="B32" s="14"/>
      <c r="C32" s="8"/>
    </row>
    <row r="33" spans="1:3" ht="15" customHeight="1" x14ac:dyDescent="0.25">
      <c r="A33" s="16"/>
      <c r="B33" s="14"/>
      <c r="C33" s="8"/>
    </row>
    <row r="34" spans="1:3" ht="15" customHeight="1" x14ac:dyDescent="0.25">
      <c r="A34" s="16"/>
      <c r="B34" s="14"/>
      <c r="C34" s="8"/>
    </row>
    <row r="35" spans="1:3" ht="15" customHeight="1" x14ac:dyDescent="0.25">
      <c r="A35" s="16"/>
      <c r="B35" s="14"/>
      <c r="C35" s="8"/>
    </row>
    <row r="36" spans="1:3" ht="15" customHeight="1" x14ac:dyDescent="0.25">
      <c r="A36" s="16"/>
      <c r="B36" s="14"/>
      <c r="C36" s="8"/>
    </row>
    <row r="37" spans="1:3" ht="15" customHeight="1" x14ac:dyDescent="0.25">
      <c r="A37" s="16"/>
      <c r="B37" s="14"/>
      <c r="C37" s="8"/>
    </row>
    <row r="38" spans="1:3" ht="15" customHeight="1" x14ac:dyDescent="0.25">
      <c r="A38" s="16"/>
      <c r="B38" s="14"/>
      <c r="C38" s="8"/>
    </row>
    <row r="39" spans="1:3" ht="15" customHeight="1" x14ac:dyDescent="0.25">
      <c r="A39" s="16"/>
      <c r="B39" s="14"/>
      <c r="C39" s="8"/>
    </row>
    <row r="40" spans="1:3" ht="15" customHeight="1" x14ac:dyDescent="0.25">
      <c r="A40" s="16"/>
      <c r="B40" s="14"/>
      <c r="C40" s="8"/>
    </row>
    <row r="41" spans="1:3" ht="15" customHeight="1" x14ac:dyDescent="0.25">
      <c r="A41" s="16"/>
      <c r="B41" s="14"/>
      <c r="C41" s="8"/>
    </row>
    <row r="42" spans="1:3" ht="15" customHeight="1" x14ac:dyDescent="0.25">
      <c r="A42" s="16"/>
      <c r="B42" s="14"/>
      <c r="C42" s="8"/>
    </row>
    <row r="43" spans="1:3" ht="15" customHeight="1" x14ac:dyDescent="0.25">
      <c r="A43" s="16"/>
      <c r="B43" s="14"/>
      <c r="C43" s="8"/>
    </row>
    <row r="44" spans="1:3" ht="15" customHeight="1" x14ac:dyDescent="0.25">
      <c r="A44" s="16"/>
      <c r="B44" s="14"/>
      <c r="C44" s="8"/>
    </row>
    <row r="45" spans="1:3" ht="15" customHeight="1" x14ac:dyDescent="0.25">
      <c r="A45" s="16"/>
      <c r="B45" s="14"/>
      <c r="C45" s="8"/>
    </row>
    <row r="46" spans="1:3" ht="15" customHeight="1" x14ac:dyDescent="0.25">
      <c r="A46" s="16"/>
      <c r="B46" s="14"/>
      <c r="C46" s="8"/>
    </row>
    <row r="47" spans="1:3" ht="15" customHeight="1" x14ac:dyDescent="0.25">
      <c r="A47" s="16"/>
      <c r="B47" s="14"/>
      <c r="C47" s="8"/>
    </row>
    <row r="48" spans="1:3" ht="15" customHeight="1" x14ac:dyDescent="0.25">
      <c r="A48" s="16"/>
      <c r="B48" s="14"/>
      <c r="C48" s="8"/>
    </row>
    <row r="49" spans="1:3" ht="15" customHeight="1" x14ac:dyDescent="0.25">
      <c r="A49" s="16"/>
      <c r="B49" s="14"/>
      <c r="C49" s="8"/>
    </row>
    <row r="50" spans="1:3" ht="15" customHeight="1" x14ac:dyDescent="0.25">
      <c r="A50" s="16"/>
      <c r="B50" s="14"/>
      <c r="C50" s="8"/>
    </row>
    <row r="51" spans="1:3" ht="15" customHeight="1" x14ac:dyDescent="0.25">
      <c r="A51" s="16"/>
      <c r="B51" s="14"/>
      <c r="C51" s="8"/>
    </row>
    <row r="52" spans="1:3" ht="15" customHeight="1" x14ac:dyDescent="0.25">
      <c r="A52" s="16"/>
      <c r="B52" s="14"/>
      <c r="C52" s="8"/>
    </row>
    <row r="53" spans="1:3" ht="15" customHeight="1" x14ac:dyDescent="0.25">
      <c r="A53" s="16"/>
      <c r="B53" s="14"/>
      <c r="C53" s="8"/>
    </row>
    <row r="54" spans="1:3" ht="15" customHeight="1" x14ac:dyDescent="0.25">
      <c r="A54" s="16"/>
      <c r="B54" s="14"/>
      <c r="C54" s="8"/>
    </row>
    <row r="55" spans="1:3" ht="15" customHeight="1" x14ac:dyDescent="0.25">
      <c r="A55" s="16"/>
      <c r="B55" s="14"/>
      <c r="C55" s="8"/>
    </row>
    <row r="56" spans="1:3" ht="15" customHeight="1" x14ac:dyDescent="0.25">
      <c r="A56" s="16"/>
      <c r="B56" s="14"/>
      <c r="C56" s="8"/>
    </row>
    <row r="57" spans="1:3" ht="15" customHeight="1" x14ac:dyDescent="0.25">
      <c r="A57" s="16"/>
      <c r="B57" s="14"/>
      <c r="C57" s="8"/>
    </row>
    <row r="58" spans="1:3" ht="15" customHeight="1" x14ac:dyDescent="0.25">
      <c r="A58" s="16"/>
      <c r="B58" s="14"/>
      <c r="C58" s="8"/>
    </row>
    <row r="59" spans="1:3" ht="15" customHeight="1" x14ac:dyDescent="0.25">
      <c r="A59" s="16"/>
      <c r="B59" s="14"/>
      <c r="C59" s="8"/>
    </row>
    <row r="60" spans="1:3" ht="15" customHeight="1" x14ac:dyDescent="0.25">
      <c r="A60" s="16"/>
      <c r="B60" s="14"/>
      <c r="C60" s="8"/>
    </row>
    <row r="61" spans="1:3" ht="15" customHeight="1" x14ac:dyDescent="0.25">
      <c r="A61" s="16"/>
      <c r="B61" s="14"/>
      <c r="C61" s="8"/>
    </row>
    <row r="62" spans="1:3" ht="15" customHeight="1" x14ac:dyDescent="0.25">
      <c r="A62" s="16"/>
      <c r="B62" s="14"/>
      <c r="C62" s="8"/>
    </row>
    <row r="63" spans="1:3" ht="15" customHeight="1" x14ac:dyDescent="0.25">
      <c r="A63" s="16"/>
      <c r="B63" s="14"/>
      <c r="C63" s="8"/>
    </row>
    <row r="64" spans="1:3" ht="15" customHeight="1" x14ac:dyDescent="0.25">
      <c r="A64" s="16"/>
      <c r="B64" s="14"/>
      <c r="C64" s="8"/>
    </row>
    <row r="65" spans="1:3" ht="15" customHeight="1" x14ac:dyDescent="0.25">
      <c r="A65" s="16"/>
      <c r="B65" s="14"/>
      <c r="C65" s="8"/>
    </row>
    <row r="66" spans="1:3" ht="15" customHeight="1" x14ac:dyDescent="0.25">
      <c r="A66" s="16"/>
      <c r="B66" s="14"/>
      <c r="C66" s="8"/>
    </row>
    <row r="67" spans="1:3" ht="15" customHeight="1" x14ac:dyDescent="0.25">
      <c r="A67" s="16"/>
      <c r="B67" s="14"/>
      <c r="C67" s="8"/>
    </row>
    <row r="68" spans="1:3" ht="15" customHeight="1" x14ac:dyDescent="0.25">
      <c r="A68" s="16"/>
      <c r="B68" s="14"/>
      <c r="C68" s="8"/>
    </row>
    <row r="69" spans="1:3" ht="15" customHeight="1" x14ac:dyDescent="0.25">
      <c r="A69" s="16"/>
      <c r="B69" s="14"/>
      <c r="C69" s="8"/>
    </row>
    <row r="70" spans="1:3" ht="15" customHeight="1" x14ac:dyDescent="0.25">
      <c r="A70" s="16"/>
      <c r="B70" s="14"/>
      <c r="C70" s="8"/>
    </row>
    <row r="71" spans="1:3" ht="15" customHeight="1" x14ac:dyDescent="0.25">
      <c r="A71" s="16"/>
      <c r="B71" s="14"/>
      <c r="C71" s="8"/>
    </row>
    <row r="72" spans="1:3" ht="15" customHeight="1" x14ac:dyDescent="0.25">
      <c r="A72" s="16"/>
      <c r="B72" s="14"/>
      <c r="C72" s="8"/>
    </row>
    <row r="73" spans="1:3" ht="15" customHeight="1" x14ac:dyDescent="0.25">
      <c r="A73" s="16"/>
      <c r="B73" s="14"/>
      <c r="C73" s="8"/>
    </row>
    <row r="74" spans="1:3" ht="15" customHeight="1" x14ac:dyDescent="0.25">
      <c r="A74" s="16"/>
      <c r="B74" s="14"/>
      <c r="C74" s="8"/>
    </row>
    <row r="75" spans="1:3" ht="15" customHeight="1" x14ac:dyDescent="0.25">
      <c r="A75" s="16"/>
      <c r="B75" s="14"/>
      <c r="C75" s="8"/>
    </row>
    <row r="76" spans="1:3" ht="15" customHeight="1" x14ac:dyDescent="0.25">
      <c r="A76" s="16"/>
      <c r="B76" s="14"/>
      <c r="C76" s="8"/>
    </row>
    <row r="77" spans="1:3" ht="15" customHeight="1" x14ac:dyDescent="0.25">
      <c r="A77" s="16"/>
      <c r="B77" s="14"/>
      <c r="C77" s="8"/>
    </row>
    <row r="78" spans="1:3" ht="15" customHeight="1" x14ac:dyDescent="0.25">
      <c r="A78" s="16"/>
      <c r="B78" s="14"/>
      <c r="C78" s="8"/>
    </row>
    <row r="79" spans="1:3" ht="15" customHeight="1" x14ac:dyDescent="0.25">
      <c r="A79" s="16"/>
      <c r="B79" s="14"/>
      <c r="C79" s="8"/>
    </row>
    <row r="80" spans="1:3" ht="15" customHeight="1" x14ac:dyDescent="0.25">
      <c r="A80" s="16"/>
      <c r="B80" s="14"/>
      <c r="C80" s="8"/>
    </row>
    <row r="81" spans="1:3" ht="15" customHeight="1" x14ac:dyDescent="0.25">
      <c r="A81" s="16"/>
      <c r="B81" s="14"/>
      <c r="C81" s="8"/>
    </row>
    <row r="82" spans="1:3" ht="15" customHeight="1" x14ac:dyDescent="0.25">
      <c r="A82" s="16"/>
      <c r="B82" s="14"/>
      <c r="C82" s="8"/>
    </row>
    <row r="83" spans="1:3" ht="15" customHeight="1" x14ac:dyDescent="0.25">
      <c r="A83" s="16"/>
      <c r="B83" s="14"/>
      <c r="C83" s="8"/>
    </row>
    <row r="84" spans="1:3" ht="15" customHeight="1" x14ac:dyDescent="0.25">
      <c r="A84" s="16"/>
      <c r="B84" s="14"/>
      <c r="C84" s="8"/>
    </row>
    <row r="85" spans="1:3" ht="15" customHeight="1" x14ac:dyDescent="0.25">
      <c r="A85" s="16"/>
      <c r="B85" s="14"/>
      <c r="C85" s="8"/>
    </row>
    <row r="86" spans="1:3" ht="15" customHeight="1" x14ac:dyDescent="0.25">
      <c r="A86" s="16"/>
      <c r="B86" s="14"/>
      <c r="C86" s="8"/>
    </row>
    <row r="87" spans="1:3" ht="15" customHeight="1" x14ac:dyDescent="0.25">
      <c r="A87" s="16"/>
      <c r="B87" s="14"/>
      <c r="C87" s="8"/>
    </row>
    <row r="88" spans="1:3" ht="15" customHeight="1" x14ac:dyDescent="0.25">
      <c r="A88" s="16"/>
      <c r="B88" s="14"/>
      <c r="C88" s="8"/>
    </row>
    <row r="89" spans="1:3" ht="15" customHeight="1" x14ac:dyDescent="0.25">
      <c r="A89" s="16"/>
      <c r="B89" s="14"/>
      <c r="C89" s="8"/>
    </row>
    <row r="90" spans="1:3" ht="15" customHeight="1" x14ac:dyDescent="0.25">
      <c r="A90" s="16"/>
      <c r="B90" s="14"/>
      <c r="C90" s="8"/>
    </row>
    <row r="91" spans="1:3" ht="15" customHeight="1" x14ac:dyDescent="0.25">
      <c r="A91" s="16"/>
      <c r="B91" s="14"/>
      <c r="C91" s="8"/>
    </row>
    <row r="92" spans="1:3" ht="15" customHeight="1" x14ac:dyDescent="0.25">
      <c r="A92" s="16"/>
      <c r="B92" s="14"/>
      <c r="C92" s="8"/>
    </row>
    <row r="93" spans="1:3" ht="15" customHeight="1" x14ac:dyDescent="0.25">
      <c r="A93" s="16"/>
      <c r="B93" s="14"/>
      <c r="C93" s="8"/>
    </row>
    <row r="94" spans="1:3" ht="15" customHeight="1" x14ac:dyDescent="0.25">
      <c r="A94" s="16"/>
      <c r="B94" s="14"/>
      <c r="C94" s="8"/>
    </row>
    <row r="95" spans="1:3" ht="15" customHeight="1" x14ac:dyDescent="0.25">
      <c r="A95" s="16"/>
      <c r="B95" s="14"/>
      <c r="C95" s="8"/>
    </row>
    <row r="96" spans="1:3" ht="15" customHeight="1" x14ac:dyDescent="0.25">
      <c r="A96" s="16"/>
      <c r="B96" s="14"/>
      <c r="C96" s="8"/>
    </row>
    <row r="97" spans="1:3" ht="15" customHeight="1" x14ac:dyDescent="0.25">
      <c r="A97" s="16"/>
      <c r="B97" s="14"/>
      <c r="C97" s="8"/>
    </row>
    <row r="98" spans="1:3" ht="15" customHeight="1" x14ac:dyDescent="0.25">
      <c r="A98" s="16"/>
      <c r="B98" s="14"/>
      <c r="C98" s="8"/>
    </row>
    <row r="99" spans="1:3" ht="15" customHeight="1" x14ac:dyDescent="0.25">
      <c r="A99" s="16"/>
      <c r="B99" s="14"/>
      <c r="C99" s="8"/>
    </row>
    <row r="100" spans="1:3" ht="15" customHeight="1" x14ac:dyDescent="0.25">
      <c r="A100" s="16"/>
      <c r="B100" s="14"/>
      <c r="C100" s="8"/>
    </row>
    <row r="101" spans="1:3" ht="15" customHeight="1" x14ac:dyDescent="0.25">
      <c r="A101" s="16"/>
      <c r="B101" s="14"/>
      <c r="C101" s="8"/>
    </row>
    <row r="102" spans="1:3" ht="15" customHeight="1" x14ac:dyDescent="0.25">
      <c r="A102" s="16"/>
      <c r="B102" s="14"/>
      <c r="C102" s="8"/>
    </row>
    <row r="103" spans="1:3" ht="15" customHeight="1" x14ac:dyDescent="0.25">
      <c r="A103" s="16"/>
      <c r="B103" s="14"/>
      <c r="C103" s="8"/>
    </row>
    <row r="104" spans="1:3" ht="15" customHeight="1" x14ac:dyDescent="0.25">
      <c r="A104" s="16"/>
      <c r="B104" s="14"/>
      <c r="C104" s="8"/>
    </row>
    <row r="105" spans="1:3" ht="15" customHeight="1" x14ac:dyDescent="0.25">
      <c r="A105" s="16"/>
      <c r="B105" s="14"/>
      <c r="C105" s="8"/>
    </row>
    <row r="106" spans="1:3" ht="15" customHeight="1" x14ac:dyDescent="0.25">
      <c r="A106" s="16"/>
      <c r="B106" s="14"/>
      <c r="C106" s="8"/>
    </row>
    <row r="107" spans="1:3" ht="15" customHeight="1" x14ac:dyDescent="0.25">
      <c r="A107" s="16"/>
      <c r="B107" s="14"/>
      <c r="C107" s="8"/>
    </row>
    <row r="108" spans="1:3" ht="15" customHeight="1" x14ac:dyDescent="0.25">
      <c r="A108" s="16"/>
      <c r="B108" s="14"/>
      <c r="C108" s="8"/>
    </row>
    <row r="109" spans="1:3" ht="15" customHeight="1" x14ac:dyDescent="0.25">
      <c r="A109" s="16"/>
      <c r="B109" s="14"/>
      <c r="C109" s="8"/>
    </row>
    <row r="110" spans="1:3" ht="15" customHeight="1" x14ac:dyDescent="0.25">
      <c r="A110" s="16"/>
      <c r="B110" s="14"/>
      <c r="C110" s="8"/>
    </row>
    <row r="111" spans="1:3" ht="15" customHeight="1" x14ac:dyDescent="0.25">
      <c r="A111" s="16"/>
      <c r="B111" s="14"/>
      <c r="C111" s="8"/>
    </row>
    <row r="112" spans="1:3" ht="15" customHeight="1" x14ac:dyDescent="0.25">
      <c r="A112" s="16"/>
      <c r="B112" s="14"/>
      <c r="C112" s="8"/>
    </row>
    <row r="113" spans="1:3" ht="15" customHeight="1" x14ac:dyDescent="0.25">
      <c r="A113" s="16"/>
      <c r="B113" s="14"/>
      <c r="C113" s="8"/>
    </row>
    <row r="114" spans="1:3" ht="15" customHeight="1" x14ac:dyDescent="0.25">
      <c r="A114" s="16"/>
      <c r="B114" s="14"/>
      <c r="C114" s="8"/>
    </row>
    <row r="115" spans="1:3" ht="15" customHeight="1" x14ac:dyDescent="0.25">
      <c r="A115" s="16"/>
      <c r="B115" s="14"/>
      <c r="C115" s="8"/>
    </row>
    <row r="116" spans="1:3" ht="15" customHeight="1" x14ac:dyDescent="0.25">
      <c r="A116" s="16"/>
      <c r="B116" s="14"/>
      <c r="C116" s="8"/>
    </row>
    <row r="117" spans="1:3" ht="15" customHeight="1" x14ac:dyDescent="0.25">
      <c r="A117" s="16"/>
      <c r="B117" s="14"/>
      <c r="C117" s="8"/>
    </row>
    <row r="118" spans="1:3" ht="15" customHeight="1" x14ac:dyDescent="0.25">
      <c r="A118" s="16"/>
      <c r="B118" s="14"/>
      <c r="C118" s="8"/>
    </row>
    <row r="119" spans="1:3" ht="15" customHeight="1" x14ac:dyDescent="0.25">
      <c r="A119" s="16"/>
      <c r="B119" s="14"/>
      <c r="C119" s="8"/>
    </row>
    <row r="120" spans="1:3" ht="15" customHeight="1" x14ac:dyDescent="0.25">
      <c r="A120" s="16"/>
      <c r="B120" s="14"/>
      <c r="C120" s="8"/>
    </row>
    <row r="121" spans="1:3" ht="15" customHeight="1" x14ac:dyDescent="0.25">
      <c r="A121" s="16"/>
      <c r="B121" s="14"/>
      <c r="C121" s="8"/>
    </row>
    <row r="122" spans="1:3" ht="15" customHeight="1" x14ac:dyDescent="0.25">
      <c r="A122" s="16"/>
      <c r="B122" s="14"/>
      <c r="C122" s="8"/>
    </row>
    <row r="123" spans="1:3" ht="15" customHeight="1" x14ac:dyDescent="0.25">
      <c r="A123" s="16"/>
      <c r="B123" s="14"/>
      <c r="C123" s="8"/>
    </row>
    <row r="124" spans="1:3" ht="15" customHeight="1" x14ac:dyDescent="0.25">
      <c r="A124" s="16"/>
      <c r="B124" s="14"/>
      <c r="C124" s="8"/>
    </row>
    <row r="125" spans="1:3" ht="15" customHeight="1" x14ac:dyDescent="0.25">
      <c r="A125" s="16"/>
      <c r="B125" s="14"/>
      <c r="C125" s="8"/>
    </row>
    <row r="126" spans="1:3" ht="15" customHeight="1" x14ac:dyDescent="0.25">
      <c r="A126" s="16"/>
      <c r="B126" s="14"/>
      <c r="C126" s="8"/>
    </row>
    <row r="127" spans="1:3" ht="15" customHeight="1" x14ac:dyDescent="0.25">
      <c r="A127" s="16"/>
      <c r="B127" s="14"/>
      <c r="C127" s="8"/>
    </row>
    <row r="128" spans="1:3" ht="15" customHeight="1" x14ac:dyDescent="0.25">
      <c r="A128" s="16"/>
      <c r="B128" s="14"/>
      <c r="C128" s="8"/>
    </row>
    <row r="129" spans="1:3" ht="15" customHeight="1" x14ac:dyDescent="0.25">
      <c r="A129" s="16"/>
      <c r="B129" s="14"/>
      <c r="C129" s="8"/>
    </row>
    <row r="130" spans="1:3" ht="15" customHeight="1" x14ac:dyDescent="0.25">
      <c r="A130" s="16"/>
      <c r="B130" s="14"/>
      <c r="C130" s="8"/>
    </row>
    <row r="131" spans="1:3" ht="15" customHeight="1" x14ac:dyDescent="0.25">
      <c r="A131" s="16"/>
      <c r="B131" s="14"/>
      <c r="C131" s="8"/>
    </row>
    <row r="132" spans="1:3" ht="15" customHeight="1" x14ac:dyDescent="0.25">
      <c r="A132" s="16"/>
      <c r="B132" s="14"/>
      <c r="C132" s="8"/>
    </row>
    <row r="133" spans="1:3" ht="15" customHeight="1" x14ac:dyDescent="0.25">
      <c r="A133" s="16"/>
      <c r="B133" s="14"/>
      <c r="C133" s="8"/>
    </row>
    <row r="134" spans="1:3" ht="15" customHeight="1" x14ac:dyDescent="0.25">
      <c r="A134" s="16"/>
      <c r="B134" s="14"/>
      <c r="C134" s="8"/>
    </row>
    <row r="135" spans="1:3" ht="15" customHeight="1" x14ac:dyDescent="0.25">
      <c r="A135" s="16"/>
      <c r="B135" s="14"/>
      <c r="C135" s="8"/>
    </row>
    <row r="136" spans="1:3" ht="15" customHeight="1" x14ac:dyDescent="0.25">
      <c r="A136" s="16"/>
      <c r="B136" s="14"/>
      <c r="C136" s="8"/>
    </row>
    <row r="137" spans="1:3" ht="15" customHeight="1" x14ac:dyDescent="0.25">
      <c r="A137" s="16"/>
      <c r="B137" s="14"/>
      <c r="C137" s="8"/>
    </row>
    <row r="138" spans="1:3" ht="15" customHeight="1" x14ac:dyDescent="0.25">
      <c r="A138" s="16"/>
      <c r="B138" s="14"/>
      <c r="C138" s="8"/>
    </row>
    <row r="139" spans="1:3" ht="15" customHeight="1" x14ac:dyDescent="0.25">
      <c r="A139" s="16"/>
      <c r="B139" s="14"/>
      <c r="C139" s="8"/>
    </row>
    <row r="140" spans="1:3" ht="15" customHeight="1" x14ac:dyDescent="0.25">
      <c r="A140" s="16"/>
      <c r="B140" s="14"/>
      <c r="C140" s="8"/>
    </row>
    <row r="141" spans="1:3" ht="15" customHeight="1" x14ac:dyDescent="0.25">
      <c r="A141" s="16"/>
      <c r="B141" s="14"/>
      <c r="C141" s="8"/>
    </row>
    <row r="142" spans="1:3" ht="15" customHeight="1" x14ac:dyDescent="0.25">
      <c r="A142" s="16"/>
      <c r="B142" s="14"/>
      <c r="C142" s="8"/>
    </row>
    <row r="143" spans="1:3" ht="15" customHeight="1" x14ac:dyDescent="0.25">
      <c r="A143" s="16"/>
      <c r="B143" s="14"/>
      <c r="C143" s="8"/>
    </row>
    <row r="144" spans="1:3" ht="15" customHeight="1" x14ac:dyDescent="0.25">
      <c r="A144" s="16"/>
      <c r="B144" s="14"/>
      <c r="C144" s="8"/>
    </row>
    <row r="145" spans="1:3" ht="15" customHeight="1" x14ac:dyDescent="0.25">
      <c r="A145" s="16"/>
      <c r="B145" s="14"/>
      <c r="C145" s="8"/>
    </row>
    <row r="146" spans="1:3" ht="15" customHeight="1" x14ac:dyDescent="0.25">
      <c r="A146" s="16"/>
      <c r="B146" s="14"/>
      <c r="C146" s="8"/>
    </row>
    <row r="147" spans="1:3" ht="15" customHeight="1" x14ac:dyDescent="0.25">
      <c r="A147" s="16"/>
      <c r="B147" s="14"/>
      <c r="C147" s="8"/>
    </row>
    <row r="148" spans="1:3" ht="15" customHeight="1" x14ac:dyDescent="0.25">
      <c r="A148" s="16"/>
      <c r="B148" s="14"/>
      <c r="C148" s="8"/>
    </row>
    <row r="149" spans="1:3" ht="15" customHeight="1" x14ac:dyDescent="0.25">
      <c r="A149" s="16"/>
      <c r="B149" s="14"/>
      <c r="C149" s="8"/>
    </row>
    <row r="150" spans="1:3" ht="15" customHeight="1" x14ac:dyDescent="0.25">
      <c r="A150" s="16"/>
      <c r="B150" s="14"/>
      <c r="C150" s="8"/>
    </row>
    <row r="151" spans="1:3" ht="15" customHeight="1" x14ac:dyDescent="0.25">
      <c r="A151" s="16"/>
      <c r="B151" s="14"/>
      <c r="C151" s="8"/>
    </row>
    <row r="152" spans="1:3" ht="15" customHeight="1" x14ac:dyDescent="0.25">
      <c r="A152" s="16"/>
      <c r="B152" s="14"/>
      <c r="C152" s="8"/>
    </row>
    <row r="153" spans="1:3" ht="15" customHeight="1" x14ac:dyDescent="0.25">
      <c r="A153" s="16"/>
      <c r="B153" s="14"/>
      <c r="C153" s="8"/>
    </row>
    <row r="154" spans="1:3" ht="15" customHeight="1" x14ac:dyDescent="0.25">
      <c r="A154" s="16"/>
      <c r="B154" s="14"/>
      <c r="C154" s="8"/>
    </row>
    <row r="155" spans="1:3" ht="15" customHeight="1" x14ac:dyDescent="0.25">
      <c r="A155" s="16"/>
      <c r="B155" s="14"/>
      <c r="C155" s="8"/>
    </row>
    <row r="156" spans="1:3" ht="15" customHeight="1" x14ac:dyDescent="0.25">
      <c r="A156" s="16"/>
      <c r="B156" s="14"/>
      <c r="C156" s="8"/>
    </row>
    <row r="157" spans="1:3" ht="15" customHeight="1" x14ac:dyDescent="0.25">
      <c r="A157" s="16"/>
      <c r="B157" s="14"/>
      <c r="C157" s="8"/>
    </row>
    <row r="158" spans="1:3" ht="15" customHeight="1" x14ac:dyDescent="0.25">
      <c r="A158" s="16"/>
      <c r="B158" s="14"/>
      <c r="C158" s="8"/>
    </row>
    <row r="159" spans="1:3" ht="15" customHeight="1" x14ac:dyDescent="0.25">
      <c r="A159" s="16"/>
      <c r="B159" s="14"/>
      <c r="C159" s="8"/>
    </row>
    <row r="160" spans="1:3" ht="15" customHeight="1" x14ac:dyDescent="0.25">
      <c r="A160" s="16"/>
      <c r="B160" s="14"/>
      <c r="C160" s="8"/>
    </row>
    <row r="161" spans="1:3" ht="15" customHeight="1" x14ac:dyDescent="0.25">
      <c r="A161" s="16"/>
      <c r="B161" s="14"/>
      <c r="C161" s="8"/>
    </row>
    <row r="162" spans="1:3" ht="15" customHeight="1" x14ac:dyDescent="0.25">
      <c r="A162" s="16"/>
      <c r="B162" s="14"/>
      <c r="C162" s="8"/>
    </row>
    <row r="163" spans="1:3" ht="15" customHeight="1" x14ac:dyDescent="0.25">
      <c r="A163" s="16"/>
      <c r="B163" s="14"/>
      <c r="C163" s="8"/>
    </row>
    <row r="164" spans="1:3" ht="15" customHeight="1" x14ac:dyDescent="0.25">
      <c r="A164" s="16"/>
      <c r="B164" s="14"/>
      <c r="C164" s="8"/>
    </row>
    <row r="165" spans="1:3" ht="15" customHeight="1" x14ac:dyDescent="0.25">
      <c r="A165" s="16"/>
      <c r="B165" s="14"/>
      <c r="C165" s="8"/>
    </row>
    <row r="166" spans="1:3" ht="15" customHeight="1" x14ac:dyDescent="0.25">
      <c r="A166" s="16"/>
      <c r="B166" s="14"/>
      <c r="C166" s="8"/>
    </row>
    <row r="167" spans="1:3" ht="15" customHeight="1" x14ac:dyDescent="0.25">
      <c r="A167" s="16"/>
      <c r="B167" s="14"/>
      <c r="C167" s="8"/>
    </row>
    <row r="168" spans="1:3" ht="15" customHeight="1" x14ac:dyDescent="0.25">
      <c r="A168" s="16"/>
      <c r="B168" s="14"/>
      <c r="C168" s="8"/>
    </row>
    <row r="169" spans="1:3" ht="15" customHeight="1" x14ac:dyDescent="0.25">
      <c r="A169" s="16"/>
      <c r="B169" s="14"/>
      <c r="C169" s="8"/>
    </row>
    <row r="170" spans="1:3" ht="15" customHeight="1" x14ac:dyDescent="0.25">
      <c r="A170" s="16"/>
      <c r="B170" s="14"/>
      <c r="C170" s="8"/>
    </row>
    <row r="171" spans="1:3" ht="15" customHeight="1" x14ac:dyDescent="0.25">
      <c r="A171" s="16"/>
      <c r="B171" s="14"/>
      <c r="C171" s="8"/>
    </row>
    <row r="172" spans="1:3" ht="15" customHeight="1" x14ac:dyDescent="0.25">
      <c r="A172" s="16"/>
      <c r="B172" s="14"/>
      <c r="C172" s="8"/>
    </row>
    <row r="173" spans="1:3" ht="15" customHeight="1" x14ac:dyDescent="0.25">
      <c r="A173" s="16"/>
      <c r="B173" s="14"/>
      <c r="C173" s="8"/>
    </row>
    <row r="174" spans="1:3" ht="15" customHeight="1" x14ac:dyDescent="0.25">
      <c r="A174" s="16"/>
      <c r="B174" s="14"/>
      <c r="C174" s="8"/>
    </row>
    <row r="175" spans="1:3" ht="15" customHeight="1" x14ac:dyDescent="0.25">
      <c r="A175" s="16"/>
      <c r="B175" s="14"/>
      <c r="C175" s="8"/>
    </row>
    <row r="176" spans="1:3" ht="15" customHeight="1" x14ac:dyDescent="0.25">
      <c r="A176" s="16"/>
      <c r="B176" s="14"/>
      <c r="C176" s="8"/>
    </row>
    <row r="177" spans="1:3" ht="15" customHeight="1" x14ac:dyDescent="0.25">
      <c r="A177" s="16"/>
      <c r="B177" s="14"/>
      <c r="C177" s="8"/>
    </row>
    <row r="178" spans="1:3" ht="15" customHeight="1" x14ac:dyDescent="0.25">
      <c r="A178" s="16"/>
      <c r="B178" s="14"/>
      <c r="C178" s="8"/>
    </row>
    <row r="179" spans="1:3" ht="15" customHeight="1" x14ac:dyDescent="0.25">
      <c r="A179" s="16"/>
      <c r="B179" s="14"/>
      <c r="C179" s="8"/>
    </row>
    <row r="180" spans="1:3" ht="15" customHeight="1" x14ac:dyDescent="0.25">
      <c r="A180" s="16"/>
      <c r="B180" s="14"/>
      <c r="C180" s="8"/>
    </row>
    <row r="181" spans="1:3" ht="15" customHeight="1" x14ac:dyDescent="0.25">
      <c r="A181" s="16"/>
      <c r="B181" s="14"/>
      <c r="C181" s="8"/>
    </row>
    <row r="182" spans="1:3" ht="15" customHeight="1" x14ac:dyDescent="0.25">
      <c r="A182" s="16"/>
      <c r="B182" s="14"/>
      <c r="C182" s="8"/>
    </row>
    <row r="183" spans="1:3" ht="15" customHeight="1" x14ac:dyDescent="0.25">
      <c r="A183" s="16"/>
      <c r="B183" s="14"/>
      <c r="C183" s="8"/>
    </row>
    <row r="184" spans="1:3" ht="15" customHeight="1" x14ac:dyDescent="0.25">
      <c r="A184" s="16"/>
      <c r="B184" s="14"/>
      <c r="C184" s="8"/>
    </row>
    <row r="185" spans="1:3" ht="15" customHeight="1" x14ac:dyDescent="0.25">
      <c r="A185" s="16"/>
      <c r="B185" s="14"/>
      <c r="C185" s="8"/>
    </row>
    <row r="186" spans="1:3" ht="15" customHeight="1" x14ac:dyDescent="0.25">
      <c r="A186" s="16"/>
      <c r="B186" s="14"/>
      <c r="C186" s="8"/>
    </row>
    <row r="187" spans="1:3" ht="15" customHeight="1" x14ac:dyDescent="0.25">
      <c r="A187" s="16"/>
      <c r="B187" s="14"/>
      <c r="C187" s="8"/>
    </row>
    <row r="188" spans="1:3" ht="15" customHeight="1" x14ac:dyDescent="0.25">
      <c r="A188" s="16"/>
      <c r="B188" s="14"/>
      <c r="C188" s="8"/>
    </row>
    <row r="189" spans="1:3" ht="15" customHeight="1" x14ac:dyDescent="0.25">
      <c r="A189" s="16"/>
      <c r="B189" s="14"/>
      <c r="C189" s="8"/>
    </row>
    <row r="190" spans="1:3" ht="15" customHeight="1" x14ac:dyDescent="0.25">
      <c r="A190" s="16"/>
      <c r="B190" s="14"/>
      <c r="C190" s="8"/>
    </row>
    <row r="191" spans="1:3" ht="15" customHeight="1" x14ac:dyDescent="0.25">
      <c r="A191" s="16"/>
      <c r="B191" s="14"/>
      <c r="C191" s="8"/>
    </row>
    <row r="192" spans="1:3" ht="15" customHeight="1" x14ac:dyDescent="0.25">
      <c r="A192" s="16"/>
      <c r="B192" s="14"/>
      <c r="C192" s="8"/>
    </row>
    <row r="193" spans="1:3" ht="15" customHeight="1" x14ac:dyDescent="0.25">
      <c r="A193" s="16"/>
      <c r="B193" s="14"/>
      <c r="C193" s="8"/>
    </row>
    <row r="194" spans="1:3" ht="15" customHeight="1" x14ac:dyDescent="0.25">
      <c r="A194" s="16"/>
      <c r="B194" s="14"/>
      <c r="C194" s="8"/>
    </row>
    <row r="195" spans="1:3" ht="15" customHeight="1" x14ac:dyDescent="0.25">
      <c r="A195" s="16"/>
      <c r="B195" s="14"/>
      <c r="C195" s="8"/>
    </row>
    <row r="196" spans="1:3" ht="15" customHeight="1" x14ac:dyDescent="0.25">
      <c r="A196" s="16"/>
      <c r="B196" s="14"/>
      <c r="C196" s="8"/>
    </row>
    <row r="197" spans="1:3" ht="15" customHeight="1" x14ac:dyDescent="0.25">
      <c r="A197" s="16"/>
      <c r="B197" s="14"/>
      <c r="C197" s="8"/>
    </row>
    <row r="198" spans="1:3" ht="15" customHeight="1" x14ac:dyDescent="0.25">
      <c r="A198" s="16"/>
      <c r="B198" s="14"/>
      <c r="C198" s="8"/>
    </row>
    <row r="199" spans="1:3" ht="15" customHeight="1" x14ac:dyDescent="0.25">
      <c r="A199" s="16"/>
      <c r="B199" s="14"/>
      <c r="C199" s="8"/>
    </row>
    <row r="200" spans="1:3" ht="15" customHeight="1" x14ac:dyDescent="0.25">
      <c r="A200" s="16"/>
      <c r="B200" s="14"/>
      <c r="C200" s="8"/>
    </row>
    <row r="201" spans="1:3" ht="15" customHeight="1" x14ac:dyDescent="0.25">
      <c r="A201" s="16"/>
      <c r="B201" s="14"/>
      <c r="C201" s="8"/>
    </row>
    <row r="202" spans="1:3" ht="15" customHeight="1" x14ac:dyDescent="0.25">
      <c r="A202" s="16"/>
      <c r="B202" s="14"/>
      <c r="C202" s="8"/>
    </row>
    <row r="203" spans="1:3" ht="15" customHeight="1" x14ac:dyDescent="0.25">
      <c r="A203" s="16"/>
      <c r="B203" s="14"/>
      <c r="C203" s="8"/>
    </row>
    <row r="204" spans="1:3" ht="15" customHeight="1" x14ac:dyDescent="0.25">
      <c r="A204" s="16"/>
      <c r="B204" s="14"/>
      <c r="C204" s="8"/>
    </row>
    <row r="205" spans="1:3" ht="15" customHeight="1" x14ac:dyDescent="0.25">
      <c r="A205" s="16"/>
      <c r="B205" s="14"/>
      <c r="C205" s="8"/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5"/>
  <sheetViews>
    <sheetView showGridLines="0" zoomScaleNormal="100" workbookViewId="0">
      <pane ySplit="7" topLeftCell="A8" activePane="bottomLeft" state="frozen"/>
      <selection pane="bottomLeft" sqref="A1:D1"/>
    </sheetView>
  </sheetViews>
  <sheetFormatPr baseColWidth="10" defaultColWidth="8.7109375" defaultRowHeight="15" x14ac:dyDescent="0.25"/>
  <cols>
    <col min="1" max="1" width="46" style="1" customWidth="1"/>
    <col min="2" max="2" width="20" style="1" customWidth="1"/>
    <col min="3" max="3" width="32" style="1" customWidth="1"/>
  </cols>
  <sheetData>
    <row r="1" spans="1:4" ht="25.5" customHeight="1" x14ac:dyDescent="0.25">
      <c r="A1" s="56" t="s">
        <v>38</v>
      </c>
      <c r="B1" s="55"/>
      <c r="C1" s="55"/>
      <c r="D1" s="55"/>
    </row>
    <row r="3" spans="1:4" ht="15" customHeight="1" x14ac:dyDescent="0.25">
      <c r="A3" s="57" t="s">
        <v>39</v>
      </c>
      <c r="B3" s="55"/>
      <c r="C3" s="55"/>
      <c r="D3" s="55"/>
    </row>
    <row r="5" spans="1:4" ht="15" customHeight="1" x14ac:dyDescent="0.25">
      <c r="A5" s="3" t="s">
        <v>40</v>
      </c>
    </row>
    <row r="6" spans="1:4" ht="24" customHeight="1" x14ac:dyDescent="0.25">
      <c r="A6" s="10" t="s">
        <v>41</v>
      </c>
      <c r="B6" s="11">
        <f>SUM(B8:B157)</f>
        <v>2060000</v>
      </c>
      <c r="C6" s="7"/>
    </row>
    <row r="7" spans="1:4" ht="27.75" customHeight="1" x14ac:dyDescent="0.25">
      <c r="A7" s="12" t="s">
        <v>20</v>
      </c>
      <c r="B7" s="12" t="s">
        <v>42</v>
      </c>
      <c r="C7" s="12" t="s">
        <v>22</v>
      </c>
    </row>
    <row r="8" spans="1:4" ht="15" customHeight="1" x14ac:dyDescent="0.25">
      <c r="A8" s="13" t="s">
        <v>43</v>
      </c>
      <c r="B8" s="14">
        <v>350000</v>
      </c>
      <c r="C8" s="15"/>
    </row>
    <row r="9" spans="1:4" ht="15" customHeight="1" x14ac:dyDescent="0.25">
      <c r="A9" s="13" t="s">
        <v>44</v>
      </c>
      <c r="B9" s="14">
        <v>180000</v>
      </c>
      <c r="C9" s="15"/>
    </row>
    <row r="10" spans="1:4" ht="15" customHeight="1" x14ac:dyDescent="0.25">
      <c r="A10" s="13" t="s">
        <v>45</v>
      </c>
      <c r="B10" s="14">
        <v>90000</v>
      </c>
      <c r="C10" s="15"/>
    </row>
    <row r="11" spans="1:4" ht="15" customHeight="1" x14ac:dyDescent="0.25">
      <c r="A11" s="13" t="s">
        <v>46</v>
      </c>
      <c r="B11" s="14">
        <v>220000</v>
      </c>
      <c r="C11" s="15" t="s">
        <v>47</v>
      </c>
    </row>
    <row r="12" spans="1:4" ht="15" customHeight="1" x14ac:dyDescent="0.25">
      <c r="A12" s="13" t="s">
        <v>48</v>
      </c>
      <c r="B12" s="14">
        <v>120000</v>
      </c>
      <c r="C12" s="15"/>
    </row>
    <row r="13" spans="1:4" ht="15" customHeight="1" x14ac:dyDescent="0.25">
      <c r="A13" s="13" t="s">
        <v>49</v>
      </c>
      <c r="B13" s="14">
        <v>150000</v>
      </c>
      <c r="C13" s="15"/>
    </row>
    <row r="14" spans="1:4" ht="15" customHeight="1" x14ac:dyDescent="0.25">
      <c r="A14" s="13" t="s">
        <v>50</v>
      </c>
      <c r="B14" s="14">
        <v>100000</v>
      </c>
      <c r="C14" s="15"/>
    </row>
    <row r="15" spans="1:4" ht="15" customHeight="1" x14ac:dyDescent="0.25">
      <c r="A15" s="13" t="s">
        <v>51</v>
      </c>
      <c r="B15" s="14">
        <v>200000</v>
      </c>
      <c r="C15" s="15"/>
    </row>
    <row r="16" spans="1:4" ht="15" customHeight="1" x14ac:dyDescent="0.25">
      <c r="A16" s="13" t="s">
        <v>52</v>
      </c>
      <c r="B16" s="14">
        <v>60000</v>
      </c>
      <c r="C16" s="15"/>
    </row>
    <row r="17" spans="1:3" ht="15" customHeight="1" x14ac:dyDescent="0.25">
      <c r="A17" s="13" t="s">
        <v>53</v>
      </c>
      <c r="B17" s="14">
        <v>40000</v>
      </c>
      <c r="C17" s="15"/>
    </row>
    <row r="18" spans="1:3" ht="15" customHeight="1" x14ac:dyDescent="0.25">
      <c r="A18" s="13" t="s">
        <v>54</v>
      </c>
      <c r="B18" s="14">
        <v>280000</v>
      </c>
      <c r="C18" s="15"/>
    </row>
    <row r="19" spans="1:3" ht="15" customHeight="1" x14ac:dyDescent="0.25">
      <c r="A19" s="13" t="s">
        <v>55</v>
      </c>
      <c r="B19" s="14">
        <v>150000</v>
      </c>
      <c r="C19" s="15"/>
    </row>
    <row r="20" spans="1:3" ht="15" customHeight="1" x14ac:dyDescent="0.25">
      <c r="A20" s="13" t="s">
        <v>56</v>
      </c>
      <c r="B20" s="14">
        <v>120000</v>
      </c>
      <c r="C20" s="15" t="s">
        <v>57</v>
      </c>
    </row>
    <row r="21" spans="1:3" ht="15" customHeight="1" x14ac:dyDescent="0.25">
      <c r="A21" s="16"/>
      <c r="B21" s="14"/>
      <c r="C21" s="8"/>
    </row>
    <row r="22" spans="1:3" ht="15" customHeight="1" x14ac:dyDescent="0.25">
      <c r="A22" s="16"/>
      <c r="B22" s="14"/>
      <c r="C22" s="8"/>
    </row>
    <row r="23" spans="1:3" ht="15" customHeight="1" x14ac:dyDescent="0.25">
      <c r="A23" s="16"/>
      <c r="B23" s="14"/>
      <c r="C23" s="8"/>
    </row>
    <row r="24" spans="1:3" ht="15" customHeight="1" x14ac:dyDescent="0.25">
      <c r="A24" s="16"/>
      <c r="B24" s="14"/>
      <c r="C24" s="8"/>
    </row>
    <row r="25" spans="1:3" ht="15" customHeight="1" x14ac:dyDescent="0.25">
      <c r="A25" s="16"/>
      <c r="B25" s="14"/>
      <c r="C25" s="8"/>
    </row>
    <row r="26" spans="1:3" ht="15" customHeight="1" x14ac:dyDescent="0.25">
      <c r="A26" s="16"/>
      <c r="B26" s="14"/>
      <c r="C26" s="8"/>
    </row>
    <row r="27" spans="1:3" ht="15" customHeight="1" x14ac:dyDescent="0.25">
      <c r="A27" s="16"/>
      <c r="B27" s="14"/>
      <c r="C27" s="8"/>
    </row>
    <row r="28" spans="1:3" ht="15" customHeight="1" x14ac:dyDescent="0.25">
      <c r="A28" s="16"/>
      <c r="B28" s="14"/>
      <c r="C28" s="8"/>
    </row>
    <row r="29" spans="1:3" ht="15" customHeight="1" x14ac:dyDescent="0.25">
      <c r="A29" s="16"/>
      <c r="B29" s="14"/>
      <c r="C29" s="8"/>
    </row>
    <row r="30" spans="1:3" ht="15" customHeight="1" x14ac:dyDescent="0.25">
      <c r="A30" s="16"/>
      <c r="B30" s="14"/>
      <c r="C30" s="8"/>
    </row>
    <row r="31" spans="1:3" ht="15" customHeight="1" x14ac:dyDescent="0.25">
      <c r="A31" s="16"/>
      <c r="B31" s="14"/>
      <c r="C31" s="8"/>
    </row>
    <row r="32" spans="1:3" ht="15" customHeight="1" x14ac:dyDescent="0.25">
      <c r="A32" s="16"/>
      <c r="B32" s="14"/>
      <c r="C32" s="8"/>
    </row>
    <row r="33" spans="1:3" ht="15" customHeight="1" x14ac:dyDescent="0.25">
      <c r="A33" s="16"/>
      <c r="B33" s="14"/>
      <c r="C33" s="8"/>
    </row>
    <row r="34" spans="1:3" ht="15" customHeight="1" x14ac:dyDescent="0.25">
      <c r="A34" s="16"/>
      <c r="B34" s="14"/>
      <c r="C34" s="8"/>
    </row>
    <row r="35" spans="1:3" ht="15" customHeight="1" x14ac:dyDescent="0.25">
      <c r="A35" s="16"/>
      <c r="B35" s="14"/>
      <c r="C35" s="8"/>
    </row>
    <row r="36" spans="1:3" ht="15" customHeight="1" x14ac:dyDescent="0.25">
      <c r="A36" s="16"/>
      <c r="B36" s="14"/>
      <c r="C36" s="8"/>
    </row>
    <row r="37" spans="1:3" ht="15" customHeight="1" x14ac:dyDescent="0.25">
      <c r="A37" s="16"/>
      <c r="B37" s="14"/>
      <c r="C37" s="8"/>
    </row>
    <row r="38" spans="1:3" ht="15" customHeight="1" x14ac:dyDescent="0.25">
      <c r="A38" s="16"/>
      <c r="B38" s="14"/>
      <c r="C38" s="8"/>
    </row>
    <row r="39" spans="1:3" ht="15" customHeight="1" x14ac:dyDescent="0.25">
      <c r="A39" s="16"/>
      <c r="B39" s="14"/>
      <c r="C39" s="8"/>
    </row>
    <row r="40" spans="1:3" ht="15" customHeight="1" x14ac:dyDescent="0.25">
      <c r="A40" s="16"/>
      <c r="B40" s="14"/>
      <c r="C40" s="8"/>
    </row>
    <row r="41" spans="1:3" ht="15" customHeight="1" x14ac:dyDescent="0.25">
      <c r="A41" s="16"/>
      <c r="B41" s="14"/>
      <c r="C41" s="8"/>
    </row>
    <row r="42" spans="1:3" ht="15" customHeight="1" x14ac:dyDescent="0.25">
      <c r="A42" s="16"/>
      <c r="B42" s="14"/>
      <c r="C42" s="8"/>
    </row>
    <row r="43" spans="1:3" ht="15" customHeight="1" x14ac:dyDescent="0.25">
      <c r="A43" s="16"/>
      <c r="B43" s="14"/>
      <c r="C43" s="8"/>
    </row>
    <row r="44" spans="1:3" ht="15" customHeight="1" x14ac:dyDescent="0.25">
      <c r="A44" s="16"/>
      <c r="B44" s="14"/>
      <c r="C44" s="8"/>
    </row>
    <row r="45" spans="1:3" ht="15" customHeight="1" x14ac:dyDescent="0.25">
      <c r="A45" s="16"/>
      <c r="B45" s="14"/>
      <c r="C45" s="8"/>
    </row>
    <row r="46" spans="1:3" ht="15" customHeight="1" x14ac:dyDescent="0.25">
      <c r="A46" s="16"/>
      <c r="B46" s="14"/>
      <c r="C46" s="8"/>
    </row>
    <row r="47" spans="1:3" ht="15" customHeight="1" x14ac:dyDescent="0.25">
      <c r="A47" s="16"/>
      <c r="B47" s="14"/>
      <c r="C47" s="8"/>
    </row>
    <row r="48" spans="1:3" ht="15" customHeight="1" x14ac:dyDescent="0.25">
      <c r="A48" s="16"/>
      <c r="B48" s="14"/>
      <c r="C48" s="8"/>
    </row>
    <row r="49" spans="1:3" ht="15" customHeight="1" x14ac:dyDescent="0.25">
      <c r="A49" s="16"/>
      <c r="B49" s="14"/>
      <c r="C49" s="8"/>
    </row>
    <row r="50" spans="1:3" ht="15" customHeight="1" x14ac:dyDescent="0.25">
      <c r="A50" s="16"/>
      <c r="B50" s="14"/>
      <c r="C50" s="8"/>
    </row>
    <row r="51" spans="1:3" ht="15" customHeight="1" x14ac:dyDescent="0.25">
      <c r="A51" s="16"/>
      <c r="B51" s="14"/>
      <c r="C51" s="8"/>
    </row>
    <row r="52" spans="1:3" ht="15" customHeight="1" x14ac:dyDescent="0.25">
      <c r="A52" s="16"/>
      <c r="B52" s="14"/>
      <c r="C52" s="8"/>
    </row>
    <row r="53" spans="1:3" ht="15" customHeight="1" x14ac:dyDescent="0.25">
      <c r="A53" s="16"/>
      <c r="B53" s="14"/>
      <c r="C53" s="8"/>
    </row>
    <row r="54" spans="1:3" ht="15" customHeight="1" x14ac:dyDescent="0.25">
      <c r="A54" s="16"/>
      <c r="B54" s="14"/>
      <c r="C54" s="8"/>
    </row>
    <row r="55" spans="1:3" ht="15" customHeight="1" x14ac:dyDescent="0.25">
      <c r="A55" s="16"/>
      <c r="B55" s="14"/>
      <c r="C55" s="8"/>
    </row>
    <row r="56" spans="1:3" ht="15" customHeight="1" x14ac:dyDescent="0.25">
      <c r="A56" s="16"/>
      <c r="B56" s="14"/>
      <c r="C56" s="8"/>
    </row>
    <row r="57" spans="1:3" ht="15" customHeight="1" x14ac:dyDescent="0.25">
      <c r="A57" s="16"/>
      <c r="B57" s="14"/>
      <c r="C57" s="8"/>
    </row>
    <row r="58" spans="1:3" ht="15" customHeight="1" x14ac:dyDescent="0.25">
      <c r="A58" s="16"/>
      <c r="B58" s="14"/>
      <c r="C58" s="8"/>
    </row>
    <row r="59" spans="1:3" ht="15" customHeight="1" x14ac:dyDescent="0.25">
      <c r="A59" s="16"/>
      <c r="B59" s="14"/>
      <c r="C59" s="8"/>
    </row>
    <row r="60" spans="1:3" ht="15" customHeight="1" x14ac:dyDescent="0.25">
      <c r="A60" s="16"/>
      <c r="B60" s="14"/>
      <c r="C60" s="8"/>
    </row>
    <row r="61" spans="1:3" ht="15" customHeight="1" x14ac:dyDescent="0.25">
      <c r="A61" s="16"/>
      <c r="B61" s="14"/>
      <c r="C61" s="8"/>
    </row>
    <row r="62" spans="1:3" ht="15" customHeight="1" x14ac:dyDescent="0.25">
      <c r="A62" s="16"/>
      <c r="B62" s="14"/>
      <c r="C62" s="8"/>
    </row>
    <row r="63" spans="1:3" ht="15" customHeight="1" x14ac:dyDescent="0.25">
      <c r="A63" s="16"/>
      <c r="B63" s="14"/>
      <c r="C63" s="8"/>
    </row>
    <row r="64" spans="1:3" ht="15" customHeight="1" x14ac:dyDescent="0.25">
      <c r="A64" s="16"/>
      <c r="B64" s="14"/>
      <c r="C64" s="8"/>
    </row>
    <row r="65" spans="1:3" ht="15" customHeight="1" x14ac:dyDescent="0.25">
      <c r="A65" s="16"/>
      <c r="B65" s="14"/>
      <c r="C65" s="8"/>
    </row>
    <row r="66" spans="1:3" ht="15" customHeight="1" x14ac:dyDescent="0.25">
      <c r="A66" s="16"/>
      <c r="B66" s="14"/>
      <c r="C66" s="8"/>
    </row>
    <row r="67" spans="1:3" ht="15" customHeight="1" x14ac:dyDescent="0.25">
      <c r="A67" s="16"/>
      <c r="B67" s="14"/>
      <c r="C67" s="8"/>
    </row>
    <row r="68" spans="1:3" ht="15" customHeight="1" x14ac:dyDescent="0.25">
      <c r="A68" s="16"/>
      <c r="B68" s="14"/>
      <c r="C68" s="8"/>
    </row>
    <row r="69" spans="1:3" ht="15" customHeight="1" x14ac:dyDescent="0.25">
      <c r="A69" s="16"/>
      <c r="B69" s="14"/>
      <c r="C69" s="8"/>
    </row>
    <row r="70" spans="1:3" ht="15" customHeight="1" x14ac:dyDescent="0.25">
      <c r="A70" s="16"/>
      <c r="B70" s="14"/>
      <c r="C70" s="8"/>
    </row>
    <row r="71" spans="1:3" ht="15" customHeight="1" x14ac:dyDescent="0.25">
      <c r="A71" s="16"/>
      <c r="B71" s="14"/>
      <c r="C71" s="8"/>
    </row>
    <row r="72" spans="1:3" ht="15" customHeight="1" x14ac:dyDescent="0.25">
      <c r="A72" s="16"/>
      <c r="B72" s="14"/>
      <c r="C72" s="8"/>
    </row>
    <row r="73" spans="1:3" ht="15" customHeight="1" x14ac:dyDescent="0.25">
      <c r="A73" s="16"/>
      <c r="B73" s="14"/>
      <c r="C73" s="8"/>
    </row>
    <row r="74" spans="1:3" ht="15" customHeight="1" x14ac:dyDescent="0.25">
      <c r="A74" s="16"/>
      <c r="B74" s="14"/>
      <c r="C74" s="8"/>
    </row>
    <row r="75" spans="1:3" ht="15" customHeight="1" x14ac:dyDescent="0.25">
      <c r="A75" s="16"/>
      <c r="B75" s="14"/>
      <c r="C75" s="8"/>
    </row>
    <row r="76" spans="1:3" ht="15" customHeight="1" x14ac:dyDescent="0.25">
      <c r="A76" s="16"/>
      <c r="B76" s="14"/>
      <c r="C76" s="8"/>
    </row>
    <row r="77" spans="1:3" ht="15" customHeight="1" x14ac:dyDescent="0.25">
      <c r="A77" s="16"/>
      <c r="B77" s="14"/>
      <c r="C77" s="8"/>
    </row>
    <row r="78" spans="1:3" ht="15" customHeight="1" x14ac:dyDescent="0.25">
      <c r="A78" s="16"/>
      <c r="B78" s="14"/>
      <c r="C78" s="8"/>
    </row>
    <row r="79" spans="1:3" ht="15" customHeight="1" x14ac:dyDescent="0.25">
      <c r="A79" s="16"/>
      <c r="B79" s="14"/>
      <c r="C79" s="8"/>
    </row>
    <row r="80" spans="1:3" ht="15" customHeight="1" x14ac:dyDescent="0.25">
      <c r="A80" s="16"/>
      <c r="B80" s="14"/>
      <c r="C80" s="8"/>
    </row>
    <row r="81" spans="1:3" ht="15" customHeight="1" x14ac:dyDescent="0.25">
      <c r="A81" s="16"/>
      <c r="B81" s="14"/>
      <c r="C81" s="8"/>
    </row>
    <row r="82" spans="1:3" ht="15" customHeight="1" x14ac:dyDescent="0.25">
      <c r="A82" s="16"/>
      <c r="B82" s="14"/>
      <c r="C82" s="8"/>
    </row>
    <row r="83" spans="1:3" ht="15" customHeight="1" x14ac:dyDescent="0.25">
      <c r="A83" s="16"/>
      <c r="B83" s="14"/>
      <c r="C83" s="8"/>
    </row>
    <row r="84" spans="1:3" ht="15" customHeight="1" x14ac:dyDescent="0.25">
      <c r="A84" s="16"/>
      <c r="B84" s="14"/>
      <c r="C84" s="8"/>
    </row>
    <row r="85" spans="1:3" ht="15" customHeight="1" x14ac:dyDescent="0.25">
      <c r="A85" s="16"/>
      <c r="B85" s="14"/>
      <c r="C85" s="8"/>
    </row>
    <row r="86" spans="1:3" ht="15" customHeight="1" x14ac:dyDescent="0.25">
      <c r="A86" s="16"/>
      <c r="B86" s="14"/>
      <c r="C86" s="8"/>
    </row>
    <row r="87" spans="1:3" ht="15" customHeight="1" x14ac:dyDescent="0.25">
      <c r="A87" s="16"/>
      <c r="B87" s="14"/>
      <c r="C87" s="8"/>
    </row>
    <row r="88" spans="1:3" ht="15" customHeight="1" x14ac:dyDescent="0.25">
      <c r="A88" s="16"/>
      <c r="B88" s="14"/>
      <c r="C88" s="8"/>
    </row>
    <row r="89" spans="1:3" ht="15" customHeight="1" x14ac:dyDescent="0.25">
      <c r="A89" s="16"/>
      <c r="B89" s="14"/>
      <c r="C89" s="8"/>
    </row>
    <row r="90" spans="1:3" ht="15" customHeight="1" x14ac:dyDescent="0.25">
      <c r="A90" s="16"/>
      <c r="B90" s="14"/>
      <c r="C90" s="8"/>
    </row>
    <row r="91" spans="1:3" ht="15" customHeight="1" x14ac:dyDescent="0.25">
      <c r="A91" s="16"/>
      <c r="B91" s="14"/>
      <c r="C91" s="8"/>
    </row>
    <row r="92" spans="1:3" ht="15" customHeight="1" x14ac:dyDescent="0.25">
      <c r="A92" s="16"/>
      <c r="B92" s="14"/>
      <c r="C92" s="8"/>
    </row>
    <row r="93" spans="1:3" ht="15" customHeight="1" x14ac:dyDescent="0.25">
      <c r="A93" s="16"/>
      <c r="B93" s="14"/>
      <c r="C93" s="8"/>
    </row>
    <row r="94" spans="1:3" ht="15" customHeight="1" x14ac:dyDescent="0.25">
      <c r="A94" s="16"/>
      <c r="B94" s="14"/>
      <c r="C94" s="8"/>
    </row>
    <row r="95" spans="1:3" ht="15" customHeight="1" x14ac:dyDescent="0.25">
      <c r="A95" s="16"/>
      <c r="B95" s="14"/>
      <c r="C95" s="8"/>
    </row>
    <row r="96" spans="1:3" ht="15" customHeight="1" x14ac:dyDescent="0.25">
      <c r="A96" s="16"/>
      <c r="B96" s="14"/>
      <c r="C96" s="8"/>
    </row>
    <row r="97" spans="1:3" ht="15" customHeight="1" x14ac:dyDescent="0.25">
      <c r="A97" s="16"/>
      <c r="B97" s="14"/>
      <c r="C97" s="8"/>
    </row>
    <row r="98" spans="1:3" ht="15" customHeight="1" x14ac:dyDescent="0.25">
      <c r="A98" s="16"/>
      <c r="B98" s="14"/>
      <c r="C98" s="8"/>
    </row>
    <row r="99" spans="1:3" ht="15" customHeight="1" x14ac:dyDescent="0.25">
      <c r="A99" s="16"/>
      <c r="B99" s="14"/>
      <c r="C99" s="8"/>
    </row>
    <row r="100" spans="1:3" ht="15" customHeight="1" x14ac:dyDescent="0.25">
      <c r="A100" s="16"/>
      <c r="B100" s="14"/>
      <c r="C100" s="8"/>
    </row>
    <row r="101" spans="1:3" ht="15" customHeight="1" x14ac:dyDescent="0.25">
      <c r="A101" s="16"/>
      <c r="B101" s="14"/>
      <c r="C101" s="8"/>
    </row>
    <row r="102" spans="1:3" ht="15" customHeight="1" x14ac:dyDescent="0.25">
      <c r="A102" s="16"/>
      <c r="B102" s="14"/>
      <c r="C102" s="8"/>
    </row>
    <row r="103" spans="1:3" ht="15" customHeight="1" x14ac:dyDescent="0.25">
      <c r="A103" s="16"/>
      <c r="B103" s="14"/>
      <c r="C103" s="8"/>
    </row>
    <row r="104" spans="1:3" ht="15" customHeight="1" x14ac:dyDescent="0.25">
      <c r="A104" s="16"/>
      <c r="B104" s="14"/>
      <c r="C104" s="8"/>
    </row>
    <row r="105" spans="1:3" ht="15" customHeight="1" x14ac:dyDescent="0.25">
      <c r="A105" s="16"/>
      <c r="B105" s="14"/>
      <c r="C105" s="8"/>
    </row>
    <row r="106" spans="1:3" ht="15" customHeight="1" x14ac:dyDescent="0.25">
      <c r="A106" s="16"/>
      <c r="B106" s="14"/>
      <c r="C106" s="8"/>
    </row>
    <row r="107" spans="1:3" ht="15" customHeight="1" x14ac:dyDescent="0.25">
      <c r="A107" s="16"/>
      <c r="B107" s="14"/>
      <c r="C107" s="8"/>
    </row>
    <row r="108" spans="1:3" ht="15" customHeight="1" x14ac:dyDescent="0.25">
      <c r="A108" s="16"/>
      <c r="B108" s="14"/>
      <c r="C108" s="8"/>
    </row>
    <row r="109" spans="1:3" ht="15" customHeight="1" x14ac:dyDescent="0.25">
      <c r="A109" s="16"/>
      <c r="B109" s="14"/>
      <c r="C109" s="8"/>
    </row>
    <row r="110" spans="1:3" ht="15" customHeight="1" x14ac:dyDescent="0.25">
      <c r="A110" s="16"/>
      <c r="B110" s="14"/>
      <c r="C110" s="8"/>
    </row>
    <row r="111" spans="1:3" ht="15" customHeight="1" x14ac:dyDescent="0.25">
      <c r="A111" s="16"/>
      <c r="B111" s="14"/>
      <c r="C111" s="8"/>
    </row>
    <row r="112" spans="1:3" ht="15" customHeight="1" x14ac:dyDescent="0.25">
      <c r="A112" s="16"/>
      <c r="B112" s="14"/>
      <c r="C112" s="8"/>
    </row>
    <row r="113" spans="1:3" ht="15" customHeight="1" x14ac:dyDescent="0.25">
      <c r="A113" s="16"/>
      <c r="B113" s="14"/>
      <c r="C113" s="8"/>
    </row>
    <row r="114" spans="1:3" ht="15" customHeight="1" x14ac:dyDescent="0.25">
      <c r="A114" s="16"/>
      <c r="B114" s="14"/>
      <c r="C114" s="8"/>
    </row>
    <row r="115" spans="1:3" ht="15" customHeight="1" x14ac:dyDescent="0.25">
      <c r="A115" s="16"/>
      <c r="B115" s="14"/>
      <c r="C115" s="8"/>
    </row>
    <row r="116" spans="1:3" ht="15" customHeight="1" x14ac:dyDescent="0.25">
      <c r="A116" s="16"/>
      <c r="B116" s="14"/>
      <c r="C116" s="8"/>
    </row>
    <row r="117" spans="1:3" ht="15" customHeight="1" x14ac:dyDescent="0.25">
      <c r="A117" s="16"/>
      <c r="B117" s="14"/>
      <c r="C117" s="8"/>
    </row>
    <row r="118" spans="1:3" ht="15" customHeight="1" x14ac:dyDescent="0.25">
      <c r="A118" s="16"/>
      <c r="B118" s="14"/>
      <c r="C118" s="8"/>
    </row>
    <row r="119" spans="1:3" ht="15" customHeight="1" x14ac:dyDescent="0.25">
      <c r="A119" s="16"/>
      <c r="B119" s="14"/>
      <c r="C119" s="8"/>
    </row>
    <row r="120" spans="1:3" ht="15" customHeight="1" x14ac:dyDescent="0.25">
      <c r="A120" s="16"/>
      <c r="B120" s="14"/>
      <c r="C120" s="8"/>
    </row>
    <row r="121" spans="1:3" ht="15" customHeight="1" x14ac:dyDescent="0.25">
      <c r="A121" s="16"/>
      <c r="B121" s="14"/>
      <c r="C121" s="8"/>
    </row>
    <row r="122" spans="1:3" ht="15" customHeight="1" x14ac:dyDescent="0.25">
      <c r="A122" s="16"/>
      <c r="B122" s="14"/>
      <c r="C122" s="8"/>
    </row>
    <row r="123" spans="1:3" ht="15" customHeight="1" x14ac:dyDescent="0.25">
      <c r="A123" s="16"/>
      <c r="B123" s="14"/>
      <c r="C123" s="8"/>
    </row>
    <row r="124" spans="1:3" ht="15" customHeight="1" x14ac:dyDescent="0.25">
      <c r="A124" s="16"/>
      <c r="B124" s="14"/>
      <c r="C124" s="8"/>
    </row>
    <row r="125" spans="1:3" ht="15" customHeight="1" x14ac:dyDescent="0.25">
      <c r="A125" s="16"/>
      <c r="B125" s="14"/>
      <c r="C125" s="8"/>
    </row>
    <row r="126" spans="1:3" ht="15" customHeight="1" x14ac:dyDescent="0.25">
      <c r="A126" s="16"/>
      <c r="B126" s="14"/>
      <c r="C126" s="8"/>
    </row>
    <row r="127" spans="1:3" ht="15" customHeight="1" x14ac:dyDescent="0.25">
      <c r="A127" s="16"/>
      <c r="B127" s="14"/>
      <c r="C127" s="8"/>
    </row>
    <row r="128" spans="1:3" ht="15" customHeight="1" x14ac:dyDescent="0.25">
      <c r="A128" s="16"/>
      <c r="B128" s="14"/>
      <c r="C128" s="8"/>
    </row>
    <row r="129" spans="1:3" ht="15" customHeight="1" x14ac:dyDescent="0.25">
      <c r="A129" s="16"/>
      <c r="B129" s="14"/>
      <c r="C129" s="8"/>
    </row>
    <row r="130" spans="1:3" ht="15" customHeight="1" x14ac:dyDescent="0.25">
      <c r="A130" s="16"/>
      <c r="B130" s="14"/>
      <c r="C130" s="8"/>
    </row>
    <row r="131" spans="1:3" ht="15" customHeight="1" x14ac:dyDescent="0.25">
      <c r="A131" s="16"/>
      <c r="B131" s="14"/>
      <c r="C131" s="8"/>
    </row>
    <row r="132" spans="1:3" ht="15" customHeight="1" x14ac:dyDescent="0.25">
      <c r="A132" s="16"/>
      <c r="B132" s="14"/>
      <c r="C132" s="8"/>
    </row>
    <row r="133" spans="1:3" ht="15" customHeight="1" x14ac:dyDescent="0.25">
      <c r="A133" s="16"/>
      <c r="B133" s="14"/>
      <c r="C133" s="8"/>
    </row>
    <row r="134" spans="1:3" ht="15" customHeight="1" x14ac:dyDescent="0.25">
      <c r="A134" s="16"/>
      <c r="B134" s="14"/>
      <c r="C134" s="8"/>
    </row>
    <row r="135" spans="1:3" ht="15" customHeight="1" x14ac:dyDescent="0.25">
      <c r="A135" s="16"/>
      <c r="B135" s="14"/>
      <c r="C135" s="8"/>
    </row>
    <row r="136" spans="1:3" ht="15" customHeight="1" x14ac:dyDescent="0.25">
      <c r="A136" s="16"/>
      <c r="B136" s="14"/>
      <c r="C136" s="8"/>
    </row>
    <row r="137" spans="1:3" ht="15" customHeight="1" x14ac:dyDescent="0.25">
      <c r="A137" s="16"/>
      <c r="B137" s="14"/>
      <c r="C137" s="8"/>
    </row>
    <row r="138" spans="1:3" ht="15" customHeight="1" x14ac:dyDescent="0.25">
      <c r="A138" s="16"/>
      <c r="B138" s="14"/>
      <c r="C138" s="8"/>
    </row>
    <row r="139" spans="1:3" ht="15" customHeight="1" x14ac:dyDescent="0.25">
      <c r="A139" s="16"/>
      <c r="B139" s="14"/>
      <c r="C139" s="8"/>
    </row>
    <row r="140" spans="1:3" ht="15" customHeight="1" x14ac:dyDescent="0.25">
      <c r="A140" s="16"/>
      <c r="B140" s="14"/>
      <c r="C140" s="8"/>
    </row>
    <row r="141" spans="1:3" ht="15" customHeight="1" x14ac:dyDescent="0.25">
      <c r="A141" s="16"/>
      <c r="B141" s="14"/>
      <c r="C141" s="8"/>
    </row>
    <row r="142" spans="1:3" ht="15" customHeight="1" x14ac:dyDescent="0.25">
      <c r="A142" s="16"/>
      <c r="B142" s="14"/>
      <c r="C142" s="8"/>
    </row>
    <row r="143" spans="1:3" ht="15" customHeight="1" x14ac:dyDescent="0.25">
      <c r="A143" s="16"/>
      <c r="B143" s="14"/>
      <c r="C143" s="8"/>
    </row>
    <row r="144" spans="1:3" ht="15" customHeight="1" x14ac:dyDescent="0.25">
      <c r="A144" s="16"/>
      <c r="B144" s="14"/>
      <c r="C144" s="8"/>
    </row>
    <row r="145" spans="1:3" ht="15" customHeight="1" x14ac:dyDescent="0.25">
      <c r="A145" s="16"/>
      <c r="B145" s="14"/>
      <c r="C145" s="8"/>
    </row>
    <row r="146" spans="1:3" ht="15" customHeight="1" x14ac:dyDescent="0.25">
      <c r="A146" s="16"/>
      <c r="B146" s="14"/>
      <c r="C146" s="8"/>
    </row>
    <row r="147" spans="1:3" ht="15" customHeight="1" x14ac:dyDescent="0.25">
      <c r="A147" s="16"/>
      <c r="B147" s="14"/>
      <c r="C147" s="8"/>
    </row>
    <row r="148" spans="1:3" ht="15" customHeight="1" x14ac:dyDescent="0.25">
      <c r="A148" s="16"/>
      <c r="B148" s="14"/>
      <c r="C148" s="8"/>
    </row>
    <row r="149" spans="1:3" ht="15" customHeight="1" x14ac:dyDescent="0.25">
      <c r="A149" s="16"/>
      <c r="B149" s="14"/>
      <c r="C149" s="8"/>
    </row>
    <row r="150" spans="1:3" ht="15" customHeight="1" x14ac:dyDescent="0.25">
      <c r="A150" s="16"/>
      <c r="B150" s="14"/>
      <c r="C150" s="8"/>
    </row>
    <row r="151" spans="1:3" ht="15" customHeight="1" x14ac:dyDescent="0.25">
      <c r="A151" s="16"/>
      <c r="B151" s="14"/>
      <c r="C151" s="8"/>
    </row>
    <row r="152" spans="1:3" ht="15" customHeight="1" x14ac:dyDescent="0.25">
      <c r="A152" s="16"/>
      <c r="B152" s="14"/>
      <c r="C152" s="8"/>
    </row>
    <row r="153" spans="1:3" ht="15" customHeight="1" x14ac:dyDescent="0.25">
      <c r="A153" s="16"/>
      <c r="B153" s="14"/>
      <c r="C153" s="8"/>
    </row>
    <row r="154" spans="1:3" ht="15" customHeight="1" x14ac:dyDescent="0.25">
      <c r="A154" s="16"/>
      <c r="B154" s="14"/>
      <c r="C154" s="8"/>
    </row>
    <row r="155" spans="1:3" ht="15" customHeight="1" x14ac:dyDescent="0.25">
      <c r="A155" s="16"/>
      <c r="B155" s="14"/>
      <c r="C155" s="8"/>
    </row>
    <row r="156" spans="1:3" ht="15" customHeight="1" x14ac:dyDescent="0.25">
      <c r="A156" s="16"/>
      <c r="B156" s="14"/>
      <c r="C156" s="8"/>
    </row>
    <row r="157" spans="1:3" ht="15" customHeight="1" x14ac:dyDescent="0.25">
      <c r="A157" s="16"/>
      <c r="B157" s="14"/>
      <c r="C157" s="8"/>
    </row>
    <row r="159" spans="1:3" ht="15" customHeight="1" x14ac:dyDescent="0.25">
      <c r="A159" s="3" t="s">
        <v>58</v>
      </c>
    </row>
    <row r="160" spans="1:3" ht="15" customHeight="1" x14ac:dyDescent="0.25">
      <c r="A160" s="13" t="s">
        <v>59</v>
      </c>
      <c r="B160" s="17">
        <v>2</v>
      </c>
    </row>
    <row r="161" spans="1:3" ht="15" customHeight="1" x14ac:dyDescent="0.25">
      <c r="A161" s="13" t="s">
        <v>60</v>
      </c>
      <c r="B161" s="18">
        <f>'Costos Fijos'!B3</f>
        <v>1765000</v>
      </c>
    </row>
    <row r="162" spans="1:3" ht="15" customHeight="1" x14ac:dyDescent="0.25">
      <c r="A162" s="19" t="s">
        <v>61</v>
      </c>
      <c r="B162" s="20">
        <f>B160*B161</f>
        <v>3530000</v>
      </c>
      <c r="C162" s="9"/>
    </row>
    <row r="164" spans="1:3" ht="15" customHeight="1" x14ac:dyDescent="0.25">
      <c r="A164" s="19" t="s">
        <v>62</v>
      </c>
      <c r="B164" s="20">
        <f>B6+B162</f>
        <v>5590000</v>
      </c>
      <c r="C164" s="9"/>
    </row>
    <row r="167" spans="1:3" ht="15" customHeight="1" x14ac:dyDescent="0.25">
      <c r="A167" s="3" t="s">
        <v>63</v>
      </c>
    </row>
    <row r="168" spans="1:3" ht="24" customHeight="1" x14ac:dyDescent="0.25">
      <c r="A168" s="10" t="s">
        <v>64</v>
      </c>
      <c r="B168" s="11">
        <f>SUM(B170:B219)</f>
        <v>2000000</v>
      </c>
      <c r="C168" s="7"/>
    </row>
    <row r="169" spans="1:3" ht="27.75" customHeight="1" x14ac:dyDescent="0.25">
      <c r="A169" s="12" t="s">
        <v>65</v>
      </c>
      <c r="B169" s="12" t="s">
        <v>66</v>
      </c>
      <c r="C169" s="12" t="s">
        <v>22</v>
      </c>
    </row>
    <row r="170" spans="1:3" ht="15" customHeight="1" x14ac:dyDescent="0.25">
      <c r="A170" s="13" t="s">
        <v>67</v>
      </c>
      <c r="B170" s="14">
        <v>1200000</v>
      </c>
      <c r="C170" s="8"/>
    </row>
    <row r="171" spans="1:3" ht="15" customHeight="1" x14ac:dyDescent="0.25">
      <c r="A171" s="13" t="s">
        <v>68</v>
      </c>
      <c r="B171" s="14">
        <v>800000</v>
      </c>
      <c r="C171" s="8"/>
    </row>
    <row r="172" spans="1:3" ht="15" customHeight="1" x14ac:dyDescent="0.25">
      <c r="A172" s="16"/>
      <c r="B172" s="14"/>
      <c r="C172" s="8"/>
    </row>
    <row r="173" spans="1:3" ht="15" customHeight="1" x14ac:dyDescent="0.25">
      <c r="A173" s="16"/>
      <c r="B173" s="14"/>
      <c r="C173" s="8"/>
    </row>
    <row r="174" spans="1:3" ht="15" customHeight="1" x14ac:dyDescent="0.25">
      <c r="A174" s="16"/>
      <c r="B174" s="14"/>
      <c r="C174" s="8"/>
    </row>
    <row r="175" spans="1:3" ht="15" customHeight="1" x14ac:dyDescent="0.25">
      <c r="A175" s="16"/>
      <c r="B175" s="14"/>
      <c r="C175" s="8"/>
    </row>
    <row r="176" spans="1:3" ht="15" customHeight="1" x14ac:dyDescent="0.25">
      <c r="A176" s="16"/>
      <c r="B176" s="14"/>
      <c r="C176" s="8"/>
    </row>
    <row r="177" spans="1:3" ht="15" customHeight="1" x14ac:dyDescent="0.25">
      <c r="A177" s="16"/>
      <c r="B177" s="14"/>
      <c r="C177" s="8"/>
    </row>
    <row r="178" spans="1:3" ht="15" customHeight="1" x14ac:dyDescent="0.25">
      <c r="A178" s="16"/>
      <c r="B178" s="14"/>
      <c r="C178" s="8"/>
    </row>
    <row r="179" spans="1:3" ht="15" customHeight="1" x14ac:dyDescent="0.25">
      <c r="A179" s="16"/>
      <c r="B179" s="14"/>
      <c r="C179" s="8"/>
    </row>
    <row r="180" spans="1:3" ht="15" customHeight="1" x14ac:dyDescent="0.25">
      <c r="A180" s="16"/>
      <c r="B180" s="14"/>
      <c r="C180" s="8"/>
    </row>
    <row r="181" spans="1:3" ht="15" customHeight="1" x14ac:dyDescent="0.25">
      <c r="A181" s="16"/>
      <c r="B181" s="14"/>
      <c r="C181" s="8"/>
    </row>
    <row r="182" spans="1:3" ht="15" customHeight="1" x14ac:dyDescent="0.25">
      <c r="A182" s="16"/>
      <c r="B182" s="14"/>
      <c r="C182" s="8"/>
    </row>
    <row r="183" spans="1:3" ht="15" customHeight="1" x14ac:dyDescent="0.25">
      <c r="A183" s="16"/>
      <c r="B183" s="14"/>
      <c r="C183" s="8"/>
    </row>
    <row r="184" spans="1:3" ht="15" customHeight="1" x14ac:dyDescent="0.25">
      <c r="A184" s="16"/>
      <c r="B184" s="14"/>
      <c r="C184" s="8"/>
    </row>
    <row r="185" spans="1:3" ht="15" customHeight="1" x14ac:dyDescent="0.25">
      <c r="A185" s="16"/>
      <c r="B185" s="14"/>
      <c r="C185" s="8"/>
    </row>
    <row r="186" spans="1:3" ht="15" customHeight="1" x14ac:dyDescent="0.25">
      <c r="A186" s="16"/>
      <c r="B186" s="14"/>
      <c r="C186" s="8"/>
    </row>
    <row r="187" spans="1:3" ht="15" customHeight="1" x14ac:dyDescent="0.25">
      <c r="A187" s="16"/>
      <c r="B187" s="14"/>
      <c r="C187" s="8"/>
    </row>
    <row r="188" spans="1:3" ht="15" customHeight="1" x14ac:dyDescent="0.25">
      <c r="A188" s="16"/>
      <c r="B188" s="14"/>
      <c r="C188" s="8"/>
    </row>
    <row r="189" spans="1:3" ht="15" customHeight="1" x14ac:dyDescent="0.25">
      <c r="A189" s="16"/>
      <c r="B189" s="14"/>
      <c r="C189" s="8"/>
    </row>
    <row r="190" spans="1:3" ht="15" customHeight="1" x14ac:dyDescent="0.25">
      <c r="A190" s="16"/>
      <c r="B190" s="14"/>
      <c r="C190" s="8"/>
    </row>
    <row r="191" spans="1:3" ht="15" customHeight="1" x14ac:dyDescent="0.25">
      <c r="A191" s="16"/>
      <c r="B191" s="14"/>
      <c r="C191" s="8"/>
    </row>
    <row r="192" spans="1:3" ht="15" customHeight="1" x14ac:dyDescent="0.25">
      <c r="A192" s="16"/>
      <c r="B192" s="14"/>
      <c r="C192" s="8"/>
    </row>
    <row r="193" spans="1:3" ht="15" customHeight="1" x14ac:dyDescent="0.25">
      <c r="A193" s="16"/>
      <c r="B193" s="14"/>
      <c r="C193" s="8"/>
    </row>
    <row r="194" spans="1:3" ht="15" customHeight="1" x14ac:dyDescent="0.25">
      <c r="A194" s="16"/>
      <c r="B194" s="14"/>
      <c r="C194" s="8"/>
    </row>
    <row r="195" spans="1:3" ht="15" customHeight="1" x14ac:dyDescent="0.25">
      <c r="A195" s="16"/>
      <c r="B195" s="14"/>
      <c r="C195" s="8"/>
    </row>
    <row r="196" spans="1:3" ht="15" customHeight="1" x14ac:dyDescent="0.25">
      <c r="A196" s="16"/>
      <c r="B196" s="14"/>
      <c r="C196" s="8"/>
    </row>
    <row r="197" spans="1:3" ht="15" customHeight="1" x14ac:dyDescent="0.25">
      <c r="A197" s="16"/>
      <c r="B197" s="14"/>
      <c r="C197" s="8"/>
    </row>
    <row r="198" spans="1:3" ht="15" customHeight="1" x14ac:dyDescent="0.25">
      <c r="A198" s="16"/>
      <c r="B198" s="14"/>
      <c r="C198" s="8"/>
    </row>
    <row r="199" spans="1:3" ht="15" customHeight="1" x14ac:dyDescent="0.25">
      <c r="A199" s="16"/>
      <c r="B199" s="14"/>
      <c r="C199" s="8"/>
    </row>
    <row r="200" spans="1:3" ht="15" customHeight="1" x14ac:dyDescent="0.25">
      <c r="A200" s="16"/>
      <c r="B200" s="14"/>
      <c r="C200" s="8"/>
    </row>
    <row r="201" spans="1:3" ht="15" customHeight="1" x14ac:dyDescent="0.25">
      <c r="A201" s="16"/>
      <c r="B201" s="14"/>
      <c r="C201" s="8"/>
    </row>
    <row r="202" spans="1:3" ht="15" customHeight="1" x14ac:dyDescent="0.25">
      <c r="A202" s="16"/>
      <c r="B202" s="14"/>
      <c r="C202" s="8"/>
    </row>
    <row r="203" spans="1:3" ht="15" customHeight="1" x14ac:dyDescent="0.25">
      <c r="A203" s="16"/>
      <c r="B203" s="14"/>
      <c r="C203" s="8"/>
    </row>
    <row r="204" spans="1:3" ht="15" customHeight="1" x14ac:dyDescent="0.25">
      <c r="A204" s="16"/>
      <c r="B204" s="14"/>
      <c r="C204" s="8"/>
    </row>
    <row r="205" spans="1:3" ht="15" customHeight="1" x14ac:dyDescent="0.25">
      <c r="A205" s="16"/>
      <c r="B205" s="14"/>
      <c r="C205" s="8"/>
    </row>
    <row r="206" spans="1:3" ht="15" customHeight="1" x14ac:dyDescent="0.25">
      <c r="A206" s="16"/>
      <c r="B206" s="14"/>
      <c r="C206" s="8"/>
    </row>
    <row r="207" spans="1:3" ht="15" customHeight="1" x14ac:dyDescent="0.25">
      <c r="A207" s="16"/>
      <c r="B207" s="14"/>
      <c r="C207" s="8"/>
    </row>
    <row r="208" spans="1:3" ht="15" customHeight="1" x14ac:dyDescent="0.25">
      <c r="A208" s="16"/>
      <c r="B208" s="14"/>
      <c r="C208" s="8"/>
    </row>
    <row r="209" spans="1:3" ht="15" customHeight="1" x14ac:dyDescent="0.25">
      <c r="A209" s="16"/>
      <c r="B209" s="14"/>
      <c r="C209" s="8"/>
    </row>
    <row r="210" spans="1:3" ht="15" customHeight="1" x14ac:dyDescent="0.25">
      <c r="A210" s="16"/>
      <c r="B210" s="14"/>
      <c r="C210" s="8"/>
    </row>
    <row r="211" spans="1:3" ht="15" customHeight="1" x14ac:dyDescent="0.25">
      <c r="A211" s="16"/>
      <c r="B211" s="14"/>
      <c r="C211" s="8"/>
    </row>
    <row r="212" spans="1:3" ht="15" customHeight="1" x14ac:dyDescent="0.25">
      <c r="A212" s="16"/>
      <c r="B212" s="14"/>
      <c r="C212" s="8"/>
    </row>
    <row r="213" spans="1:3" ht="15" customHeight="1" x14ac:dyDescent="0.25">
      <c r="A213" s="16"/>
      <c r="B213" s="14"/>
      <c r="C213" s="8"/>
    </row>
    <row r="214" spans="1:3" ht="15" customHeight="1" x14ac:dyDescent="0.25">
      <c r="A214" s="16"/>
      <c r="B214" s="14"/>
      <c r="C214" s="8"/>
    </row>
    <row r="215" spans="1:3" ht="15" customHeight="1" x14ac:dyDescent="0.25">
      <c r="A215" s="16"/>
      <c r="B215" s="14"/>
      <c r="C215" s="8"/>
    </row>
    <row r="216" spans="1:3" ht="15" customHeight="1" x14ac:dyDescent="0.25">
      <c r="A216" s="16"/>
      <c r="B216" s="14"/>
      <c r="C216" s="8"/>
    </row>
    <row r="217" spans="1:3" ht="15" customHeight="1" x14ac:dyDescent="0.25">
      <c r="A217" s="16"/>
      <c r="B217" s="14"/>
      <c r="C217" s="8"/>
    </row>
    <row r="218" spans="1:3" ht="15" customHeight="1" x14ac:dyDescent="0.25">
      <c r="A218" s="16"/>
      <c r="B218" s="14"/>
      <c r="C218" s="8"/>
    </row>
    <row r="219" spans="1:3" ht="15" customHeight="1" x14ac:dyDescent="0.25">
      <c r="A219" s="16"/>
      <c r="B219" s="14"/>
      <c r="C219" s="8"/>
    </row>
    <row r="221" spans="1:3" ht="15" customHeight="1" x14ac:dyDescent="0.25">
      <c r="A221" s="3" t="s">
        <v>69</v>
      </c>
    </row>
    <row r="222" spans="1:3" ht="15" customHeight="1" x14ac:dyDescent="0.25">
      <c r="A222" s="13" t="s">
        <v>70</v>
      </c>
      <c r="B222" s="18">
        <f>B168</f>
        <v>2000000</v>
      </c>
    </row>
    <row r="223" spans="1:3" ht="15" customHeight="1" x14ac:dyDescent="0.25">
      <c r="A223" s="13" t="s">
        <v>71</v>
      </c>
      <c r="B223" s="18">
        <f>B164</f>
        <v>5590000</v>
      </c>
    </row>
    <row r="224" spans="1:3" ht="15" customHeight="1" x14ac:dyDescent="0.25">
      <c r="A224" s="21" t="s">
        <v>72</v>
      </c>
      <c r="B224" s="22">
        <f>B222-B223</f>
        <v>-3590000</v>
      </c>
    </row>
    <row r="225" spans="1:2" ht="15" customHeight="1" x14ac:dyDescent="0.25">
      <c r="A225" s="21" t="s">
        <v>73</v>
      </c>
      <c r="B225" s="23" t="str">
        <f>IF(B224&gt;=0,"Capital suficiente ✓","FALTAN FONDOS ✗")</f>
        <v>FALTAN FONDOS ✗</v>
      </c>
    </row>
  </sheetData>
  <mergeCells count="2">
    <mergeCell ref="A1:D1"/>
    <mergeCell ref="A3:D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showGridLines="0" zoomScaleNormal="100" workbookViewId="0">
      <pane ySplit="5" topLeftCell="A6" activePane="bottomLeft" state="frozen"/>
      <selection pane="bottomLeft" activeCell="D9" sqref="D9"/>
    </sheetView>
  </sheetViews>
  <sheetFormatPr baseColWidth="10" defaultColWidth="8.7109375" defaultRowHeight="15" x14ac:dyDescent="0.25"/>
  <cols>
    <col min="1" max="1" width="42" style="1" customWidth="1"/>
    <col min="2" max="2" width="16" style="1" customWidth="1"/>
    <col min="3" max="3" width="14" style="1" customWidth="1"/>
    <col min="4" max="4" width="16" style="1" customWidth="1"/>
    <col min="5" max="5" width="18" style="1" customWidth="1"/>
  </cols>
  <sheetData>
    <row r="1" spans="1:5" ht="25.5" customHeight="1" x14ac:dyDescent="0.25">
      <c r="A1" s="56" t="s">
        <v>74</v>
      </c>
      <c r="B1" s="55"/>
      <c r="C1" s="55"/>
      <c r="D1" s="55"/>
      <c r="E1" s="55"/>
    </row>
    <row r="3" spans="1:5" ht="15" customHeight="1" x14ac:dyDescent="0.25">
      <c r="A3" s="3" t="s">
        <v>75</v>
      </c>
    </row>
    <row r="4" spans="1:5" ht="24" customHeight="1" x14ac:dyDescent="0.25">
      <c r="A4" s="58" t="s">
        <v>76</v>
      </c>
      <c r="B4" s="59"/>
      <c r="C4" s="59"/>
      <c r="D4" s="60"/>
      <c r="E4" s="24">
        <f>SUM(E6:E35)</f>
        <v>576.20000000000005</v>
      </c>
    </row>
    <row r="5" spans="1:5" ht="25.5" customHeight="1" x14ac:dyDescent="0.25">
      <c r="A5" s="12" t="s">
        <v>77</v>
      </c>
      <c r="B5" s="12" t="s">
        <v>78</v>
      </c>
      <c r="C5" s="12" t="s">
        <v>79</v>
      </c>
      <c r="D5" s="12" t="s">
        <v>80</v>
      </c>
      <c r="E5" s="12" t="s">
        <v>81</v>
      </c>
    </row>
    <row r="6" spans="1:5" ht="15" customHeight="1" x14ac:dyDescent="0.25">
      <c r="A6" s="13" t="s">
        <v>82</v>
      </c>
      <c r="B6" s="25">
        <v>2</v>
      </c>
      <c r="C6" s="13" t="s">
        <v>83</v>
      </c>
      <c r="D6" s="26">
        <v>161.1</v>
      </c>
      <c r="E6" s="27">
        <f t="shared" ref="E6:E35" si="0">IF(OR(B6="",D6=""),0,B6*D6)</f>
        <v>322.2</v>
      </c>
    </row>
    <row r="7" spans="1:5" ht="15" customHeight="1" x14ac:dyDescent="0.25">
      <c r="A7" s="13" t="s">
        <v>84</v>
      </c>
      <c r="B7" s="25">
        <v>10</v>
      </c>
      <c r="C7" s="13" t="s">
        <v>85</v>
      </c>
      <c r="D7" s="26"/>
      <c r="E7" s="27">
        <f t="shared" si="0"/>
        <v>0</v>
      </c>
    </row>
    <row r="8" spans="1:5" ht="15" customHeight="1" x14ac:dyDescent="0.25">
      <c r="A8" s="13" t="s">
        <v>141</v>
      </c>
      <c r="B8" s="25">
        <v>1</v>
      </c>
      <c r="C8" s="13" t="s">
        <v>86</v>
      </c>
      <c r="D8" s="26">
        <v>164</v>
      </c>
      <c r="E8" s="27">
        <f t="shared" si="0"/>
        <v>164</v>
      </c>
    </row>
    <row r="9" spans="1:5" ht="15" customHeight="1" x14ac:dyDescent="0.25">
      <c r="A9" s="13" t="s">
        <v>142</v>
      </c>
      <c r="B9" s="25">
        <v>1</v>
      </c>
      <c r="C9" s="13" t="s">
        <v>86</v>
      </c>
      <c r="D9" s="26">
        <v>90</v>
      </c>
      <c r="E9" s="27">
        <f t="shared" si="0"/>
        <v>90</v>
      </c>
    </row>
    <row r="10" spans="1:5" ht="15" customHeight="1" x14ac:dyDescent="0.25">
      <c r="A10" s="13"/>
      <c r="B10" s="25"/>
      <c r="C10" s="13" t="s">
        <v>86</v>
      </c>
      <c r="D10" s="26"/>
      <c r="E10" s="27">
        <f t="shared" si="0"/>
        <v>0</v>
      </c>
    </row>
    <row r="11" spans="1:5" ht="15" customHeight="1" x14ac:dyDescent="0.25">
      <c r="A11" s="16"/>
      <c r="B11" s="25"/>
      <c r="C11" s="16"/>
      <c r="D11" s="26"/>
      <c r="E11" s="27">
        <f t="shared" si="0"/>
        <v>0</v>
      </c>
    </row>
    <row r="12" spans="1:5" ht="15" customHeight="1" x14ac:dyDescent="0.25">
      <c r="A12" s="16"/>
      <c r="B12" s="25"/>
      <c r="C12" s="16"/>
      <c r="D12" s="26"/>
      <c r="E12" s="27">
        <f t="shared" si="0"/>
        <v>0</v>
      </c>
    </row>
    <row r="13" spans="1:5" ht="15" customHeight="1" x14ac:dyDescent="0.25">
      <c r="A13" s="16"/>
      <c r="B13" s="25"/>
      <c r="C13" s="16"/>
      <c r="D13" s="26"/>
      <c r="E13" s="27">
        <f t="shared" si="0"/>
        <v>0</v>
      </c>
    </row>
    <row r="14" spans="1:5" ht="15" customHeight="1" x14ac:dyDescent="0.25">
      <c r="A14" s="16"/>
      <c r="B14" s="25"/>
      <c r="C14" s="16"/>
      <c r="D14" s="26"/>
      <c r="E14" s="27">
        <f t="shared" si="0"/>
        <v>0</v>
      </c>
    </row>
    <row r="15" spans="1:5" ht="15" customHeight="1" x14ac:dyDescent="0.25">
      <c r="A15" s="16"/>
      <c r="B15" s="25"/>
      <c r="C15" s="16"/>
      <c r="D15" s="26"/>
      <c r="E15" s="27">
        <f t="shared" si="0"/>
        <v>0</v>
      </c>
    </row>
    <row r="16" spans="1:5" ht="15" customHeight="1" x14ac:dyDescent="0.25">
      <c r="A16" s="16"/>
      <c r="B16" s="25"/>
      <c r="C16" s="16"/>
      <c r="D16" s="26"/>
      <c r="E16" s="27">
        <f t="shared" si="0"/>
        <v>0</v>
      </c>
    </row>
    <row r="17" spans="1:5" ht="15" customHeight="1" x14ac:dyDescent="0.25">
      <c r="A17" s="16"/>
      <c r="B17" s="25"/>
      <c r="C17" s="16"/>
      <c r="D17" s="26"/>
      <c r="E17" s="27">
        <f t="shared" si="0"/>
        <v>0</v>
      </c>
    </row>
    <row r="18" spans="1:5" ht="15" customHeight="1" x14ac:dyDescent="0.25">
      <c r="A18" s="16"/>
      <c r="B18" s="25"/>
      <c r="C18" s="16"/>
      <c r="D18" s="26"/>
      <c r="E18" s="27">
        <f t="shared" si="0"/>
        <v>0</v>
      </c>
    </row>
    <row r="19" spans="1:5" ht="15" customHeight="1" x14ac:dyDescent="0.25">
      <c r="A19" s="16"/>
      <c r="B19" s="25"/>
      <c r="C19" s="16"/>
      <c r="D19" s="26"/>
      <c r="E19" s="27">
        <f t="shared" si="0"/>
        <v>0</v>
      </c>
    </row>
    <row r="20" spans="1:5" ht="15" customHeight="1" x14ac:dyDescent="0.25">
      <c r="A20" s="16"/>
      <c r="B20" s="25"/>
      <c r="C20" s="16"/>
      <c r="D20" s="26"/>
      <c r="E20" s="27">
        <f t="shared" si="0"/>
        <v>0</v>
      </c>
    </row>
    <row r="21" spans="1:5" ht="15" customHeight="1" x14ac:dyDescent="0.25">
      <c r="A21" s="16"/>
      <c r="B21" s="25"/>
      <c r="C21" s="16"/>
      <c r="D21" s="26"/>
      <c r="E21" s="27">
        <f t="shared" si="0"/>
        <v>0</v>
      </c>
    </row>
    <row r="22" spans="1:5" ht="15" customHeight="1" x14ac:dyDescent="0.25">
      <c r="A22" s="16"/>
      <c r="B22" s="25"/>
      <c r="C22" s="16"/>
      <c r="D22" s="26"/>
      <c r="E22" s="27">
        <f t="shared" si="0"/>
        <v>0</v>
      </c>
    </row>
    <row r="23" spans="1:5" ht="15" customHeight="1" x14ac:dyDescent="0.25">
      <c r="A23" s="16"/>
      <c r="B23" s="25"/>
      <c r="C23" s="16"/>
      <c r="D23" s="26"/>
      <c r="E23" s="27">
        <f t="shared" si="0"/>
        <v>0</v>
      </c>
    </row>
    <row r="24" spans="1:5" ht="15" customHeight="1" x14ac:dyDescent="0.25">
      <c r="A24" s="16"/>
      <c r="B24" s="25"/>
      <c r="C24" s="16"/>
      <c r="D24" s="26"/>
      <c r="E24" s="27">
        <f t="shared" si="0"/>
        <v>0</v>
      </c>
    </row>
    <row r="25" spans="1:5" ht="15" customHeight="1" x14ac:dyDescent="0.25">
      <c r="A25" s="16"/>
      <c r="B25" s="25"/>
      <c r="C25" s="16"/>
      <c r="D25" s="26"/>
      <c r="E25" s="27">
        <f t="shared" si="0"/>
        <v>0</v>
      </c>
    </row>
    <row r="26" spans="1:5" ht="15" customHeight="1" x14ac:dyDescent="0.25">
      <c r="A26" s="16"/>
      <c r="B26" s="25"/>
      <c r="C26" s="16"/>
      <c r="D26" s="26"/>
      <c r="E26" s="27">
        <f t="shared" si="0"/>
        <v>0</v>
      </c>
    </row>
    <row r="27" spans="1:5" ht="15" customHeight="1" x14ac:dyDescent="0.25">
      <c r="A27" s="16"/>
      <c r="B27" s="25"/>
      <c r="C27" s="16"/>
      <c r="D27" s="26"/>
      <c r="E27" s="27">
        <f t="shared" si="0"/>
        <v>0</v>
      </c>
    </row>
    <row r="28" spans="1:5" ht="15" customHeight="1" x14ac:dyDescent="0.25">
      <c r="A28" s="16"/>
      <c r="B28" s="25"/>
      <c r="C28" s="16"/>
      <c r="D28" s="26"/>
      <c r="E28" s="27">
        <f t="shared" si="0"/>
        <v>0</v>
      </c>
    </row>
    <row r="29" spans="1:5" ht="15" customHeight="1" x14ac:dyDescent="0.25">
      <c r="A29" s="16"/>
      <c r="B29" s="25"/>
      <c r="C29" s="16"/>
      <c r="D29" s="26"/>
      <c r="E29" s="27">
        <f t="shared" si="0"/>
        <v>0</v>
      </c>
    </row>
    <row r="30" spans="1:5" ht="15" customHeight="1" x14ac:dyDescent="0.25">
      <c r="A30" s="16"/>
      <c r="B30" s="25"/>
      <c r="C30" s="16"/>
      <c r="D30" s="26"/>
      <c r="E30" s="27">
        <f t="shared" si="0"/>
        <v>0</v>
      </c>
    </row>
    <row r="31" spans="1:5" ht="15" customHeight="1" x14ac:dyDescent="0.25">
      <c r="A31" s="16"/>
      <c r="B31" s="25"/>
      <c r="C31" s="16"/>
      <c r="D31" s="26"/>
      <c r="E31" s="27">
        <f t="shared" si="0"/>
        <v>0</v>
      </c>
    </row>
    <row r="32" spans="1:5" ht="15" customHeight="1" x14ac:dyDescent="0.25">
      <c r="A32" s="16"/>
      <c r="B32" s="25"/>
      <c r="C32" s="16"/>
      <c r="D32" s="26"/>
      <c r="E32" s="27">
        <f t="shared" si="0"/>
        <v>0</v>
      </c>
    </row>
    <row r="33" spans="1:5" ht="15" customHeight="1" x14ac:dyDescent="0.25">
      <c r="A33" s="16"/>
      <c r="B33" s="25"/>
      <c r="C33" s="16"/>
      <c r="D33" s="26"/>
      <c r="E33" s="27">
        <f t="shared" si="0"/>
        <v>0</v>
      </c>
    </row>
    <row r="34" spans="1:5" ht="15" customHeight="1" x14ac:dyDescent="0.25">
      <c r="A34" s="16"/>
      <c r="B34" s="25"/>
      <c r="C34" s="16"/>
      <c r="D34" s="26"/>
      <c r="E34" s="27">
        <f t="shared" si="0"/>
        <v>0</v>
      </c>
    </row>
    <row r="35" spans="1:5" ht="15" customHeight="1" x14ac:dyDescent="0.25">
      <c r="A35" s="16"/>
      <c r="B35" s="25"/>
      <c r="C35" s="16"/>
      <c r="D35" s="26"/>
      <c r="E35" s="27">
        <f t="shared" si="0"/>
        <v>0</v>
      </c>
    </row>
    <row r="37" spans="1:5" ht="15" customHeight="1" x14ac:dyDescent="0.25">
      <c r="A37" s="3" t="s">
        <v>87</v>
      </c>
    </row>
    <row r="38" spans="1:5" ht="15" customHeight="1" x14ac:dyDescent="0.25">
      <c r="A38" s="13" t="s">
        <v>88</v>
      </c>
      <c r="B38" s="28">
        <v>0.01</v>
      </c>
    </row>
    <row r="39" spans="1:5" ht="15" customHeight="1" x14ac:dyDescent="0.25">
      <c r="A39" s="13" t="s">
        <v>89</v>
      </c>
      <c r="B39" s="28">
        <v>0</v>
      </c>
    </row>
  </sheetData>
  <mergeCells count="2">
    <mergeCell ref="A1:E1"/>
    <mergeCell ref="A4:D4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9"/>
  <sheetViews>
    <sheetView topLeftCell="A112" workbookViewId="0">
      <selection activeCell="B132" sqref="B132"/>
    </sheetView>
  </sheetViews>
  <sheetFormatPr baseColWidth="10" defaultColWidth="9.140625" defaultRowHeight="15" x14ac:dyDescent="0.25"/>
  <cols>
    <col min="1" max="1" width="42" style="2" customWidth="1"/>
    <col min="2" max="2" width="16" style="2" customWidth="1"/>
    <col min="3" max="4" width="13" style="2" customWidth="1"/>
    <col min="5" max="5" width="18" style="2" customWidth="1"/>
    <col min="6" max="6" width="13" style="2" customWidth="1"/>
  </cols>
  <sheetData>
    <row r="1" spans="1:6" ht="18" x14ac:dyDescent="0.25">
      <c r="A1" s="64" t="s">
        <v>90</v>
      </c>
      <c r="B1" s="62"/>
      <c r="C1" s="62"/>
      <c r="D1" s="62"/>
      <c r="E1" s="62"/>
      <c r="F1" s="62"/>
    </row>
    <row r="3" spans="1:6" x14ac:dyDescent="0.25">
      <c r="A3" s="65" t="s">
        <v>91</v>
      </c>
      <c r="B3" s="62"/>
      <c r="C3" s="62"/>
      <c r="D3" s="62"/>
      <c r="E3" s="62"/>
      <c r="F3" s="62"/>
    </row>
    <row r="5" spans="1:6" ht="15.75" x14ac:dyDescent="0.25">
      <c r="A5" s="61" t="s">
        <v>92</v>
      </c>
      <c r="B5" s="62"/>
      <c r="C5" s="62"/>
      <c r="D5" s="62"/>
      <c r="E5" s="62"/>
      <c r="F5" s="62"/>
    </row>
    <row r="6" spans="1:6" x14ac:dyDescent="0.25">
      <c r="A6" s="63" t="s">
        <v>93</v>
      </c>
      <c r="B6" s="59"/>
      <c r="C6" s="59"/>
      <c r="D6" s="60"/>
      <c r="E6" s="29">
        <f>SUM(E8:E23)</f>
        <v>0</v>
      </c>
      <c r="F6" s="30"/>
    </row>
    <row r="7" spans="1:6" ht="30" x14ac:dyDescent="0.25">
      <c r="A7" s="31" t="s">
        <v>77</v>
      </c>
      <c r="B7" s="31" t="s">
        <v>78</v>
      </c>
      <c r="C7" s="31" t="s">
        <v>79</v>
      </c>
      <c r="D7" s="31" t="s">
        <v>94</v>
      </c>
      <c r="E7" s="31" t="s">
        <v>81</v>
      </c>
      <c r="F7" s="30"/>
    </row>
    <row r="8" spans="1:6" x14ac:dyDescent="0.25">
      <c r="A8" s="32" t="s">
        <v>143</v>
      </c>
      <c r="B8" s="33">
        <v>2</v>
      </c>
      <c r="C8" s="32" t="s">
        <v>85</v>
      </c>
      <c r="D8" s="34"/>
      <c r="E8" s="35">
        <f>IF(D8="",0,B8*D8)</f>
        <v>0</v>
      </c>
      <c r="F8" s="30"/>
    </row>
    <row r="9" spans="1:6" x14ac:dyDescent="0.25">
      <c r="A9" s="32" t="s">
        <v>95</v>
      </c>
      <c r="B9" s="33">
        <v>2</v>
      </c>
      <c r="C9" s="32" t="s">
        <v>85</v>
      </c>
      <c r="D9" s="34"/>
      <c r="E9" s="35">
        <f>IF(D9="",0,B9*D9)</f>
        <v>0</v>
      </c>
      <c r="F9" s="30"/>
    </row>
    <row r="10" spans="1:6" x14ac:dyDescent="0.25">
      <c r="A10" s="36" t="s">
        <v>144</v>
      </c>
      <c r="B10" s="37">
        <v>1000</v>
      </c>
      <c r="C10" s="32" t="s">
        <v>85</v>
      </c>
      <c r="D10" s="38"/>
      <c r="E10" s="38"/>
      <c r="F10" s="30"/>
    </row>
    <row r="11" spans="1:6" x14ac:dyDescent="0.25">
      <c r="A11" s="32" t="s">
        <v>145</v>
      </c>
      <c r="B11" s="39"/>
      <c r="C11" s="32" t="s">
        <v>85</v>
      </c>
      <c r="D11" s="34"/>
      <c r="E11" s="35">
        <f>IF(D11="",0,B11*D11)</f>
        <v>0</v>
      </c>
      <c r="F11" s="30"/>
    </row>
    <row r="12" spans="1:6" x14ac:dyDescent="0.25">
      <c r="A12" s="40" t="s">
        <v>146</v>
      </c>
      <c r="B12" s="33"/>
      <c r="C12" s="40"/>
      <c r="D12" s="34"/>
      <c r="E12" s="35">
        <f t="shared" ref="E12:E23" si="0">IF(OR(B12="",D12=""),0,B12*D12)</f>
        <v>0</v>
      </c>
      <c r="F12" s="30"/>
    </row>
    <row r="13" spans="1:6" x14ac:dyDescent="0.25">
      <c r="A13" s="40"/>
      <c r="B13" s="33"/>
      <c r="C13" s="40"/>
      <c r="D13" s="34"/>
      <c r="E13" s="35">
        <f t="shared" si="0"/>
        <v>0</v>
      </c>
      <c r="F13" s="30"/>
    </row>
    <row r="14" spans="1:6" x14ac:dyDescent="0.25">
      <c r="A14" s="40"/>
      <c r="B14" s="33"/>
      <c r="C14" s="40"/>
      <c r="D14" s="34"/>
      <c r="E14" s="35">
        <f t="shared" si="0"/>
        <v>0</v>
      </c>
      <c r="F14" s="30"/>
    </row>
    <row r="15" spans="1:6" x14ac:dyDescent="0.25">
      <c r="A15" s="40"/>
      <c r="B15" s="33"/>
      <c r="C15" s="40"/>
      <c r="D15" s="34"/>
      <c r="E15" s="35">
        <f t="shared" si="0"/>
        <v>0</v>
      </c>
      <c r="F15" s="30"/>
    </row>
    <row r="16" spans="1:6" x14ac:dyDescent="0.25">
      <c r="A16" s="40"/>
      <c r="B16" s="33"/>
      <c r="C16" s="40"/>
      <c r="D16" s="34"/>
      <c r="E16" s="35">
        <f t="shared" si="0"/>
        <v>0</v>
      </c>
      <c r="F16" s="30"/>
    </row>
    <row r="17" spans="1:6" x14ac:dyDescent="0.25">
      <c r="A17" s="40"/>
      <c r="B17" s="33"/>
      <c r="C17" s="40"/>
      <c r="D17" s="34"/>
      <c r="E17" s="35">
        <f t="shared" si="0"/>
        <v>0</v>
      </c>
      <c r="F17" s="30"/>
    </row>
    <row r="18" spans="1:6" x14ac:dyDescent="0.25">
      <c r="A18" s="40"/>
      <c r="B18" s="33"/>
      <c r="C18" s="40"/>
      <c r="D18" s="34"/>
      <c r="E18" s="35">
        <f t="shared" si="0"/>
        <v>0</v>
      </c>
      <c r="F18" s="30"/>
    </row>
    <row r="19" spans="1:6" x14ac:dyDescent="0.25">
      <c r="A19" s="40"/>
      <c r="B19" s="33"/>
      <c r="C19" s="40"/>
      <c r="D19" s="34"/>
      <c r="E19" s="35">
        <f t="shared" si="0"/>
        <v>0</v>
      </c>
      <c r="F19" s="30"/>
    </row>
    <row r="20" spans="1:6" x14ac:dyDescent="0.25">
      <c r="A20" s="40"/>
      <c r="B20" s="33"/>
      <c r="C20" s="40"/>
      <c r="D20" s="34"/>
      <c r="E20" s="35">
        <f t="shared" si="0"/>
        <v>0</v>
      </c>
      <c r="F20" s="30"/>
    </row>
    <row r="21" spans="1:6" x14ac:dyDescent="0.25">
      <c r="A21" s="40"/>
      <c r="B21" s="33"/>
      <c r="C21" s="40"/>
      <c r="D21" s="34"/>
      <c r="E21" s="35">
        <f t="shared" si="0"/>
        <v>0</v>
      </c>
      <c r="F21" s="30"/>
    </row>
    <row r="22" spans="1:6" x14ac:dyDescent="0.25">
      <c r="A22" s="40"/>
      <c r="B22" s="33"/>
      <c r="C22" s="40"/>
      <c r="D22" s="34"/>
      <c r="E22" s="35">
        <f t="shared" si="0"/>
        <v>0</v>
      </c>
      <c r="F22" s="30"/>
    </row>
    <row r="23" spans="1:6" x14ac:dyDescent="0.25">
      <c r="A23" s="40"/>
      <c r="B23" s="33"/>
      <c r="C23" s="40"/>
      <c r="D23" s="34"/>
      <c r="E23" s="35">
        <f t="shared" si="0"/>
        <v>0</v>
      </c>
      <c r="F23" s="30"/>
    </row>
    <row r="24" spans="1:6" x14ac:dyDescent="0.25">
      <c r="A24" s="32" t="s">
        <v>96</v>
      </c>
      <c r="B24" s="35">
        <f>E6</f>
        <v>0</v>
      </c>
      <c r="C24" s="30"/>
      <c r="D24" s="30"/>
      <c r="E24" s="30"/>
      <c r="F24" s="30"/>
    </row>
    <row r="25" spans="1:6" x14ac:dyDescent="0.25">
      <c r="A25" s="32" t="s">
        <v>97</v>
      </c>
      <c r="B25" s="35">
        <f>'Costos Generales'!E4</f>
        <v>576.20000000000005</v>
      </c>
      <c r="C25" s="30"/>
      <c r="D25" s="30"/>
      <c r="E25" s="30"/>
      <c r="F25" s="30"/>
    </row>
    <row r="26" spans="1:6" x14ac:dyDescent="0.25">
      <c r="A26" s="41" t="s">
        <v>98</v>
      </c>
      <c r="B26" s="42">
        <f>B24+B25</f>
        <v>576.20000000000005</v>
      </c>
      <c r="C26" s="30"/>
      <c r="D26" s="30"/>
      <c r="E26" s="30"/>
      <c r="F26" s="30"/>
    </row>
    <row r="27" spans="1:6" x14ac:dyDescent="0.25">
      <c r="A27" s="32" t="s">
        <v>99</v>
      </c>
      <c r="B27" s="43"/>
      <c r="C27" s="30"/>
      <c r="D27" s="30"/>
      <c r="E27" s="30"/>
      <c r="F27" s="30"/>
    </row>
    <row r="28" spans="1:6" x14ac:dyDescent="0.25">
      <c r="A28" s="32" t="s">
        <v>100</v>
      </c>
      <c r="B28" s="37"/>
      <c r="C28" s="30"/>
      <c r="D28" s="30"/>
      <c r="E28" s="30"/>
      <c r="F28" s="30"/>
    </row>
    <row r="29" spans="1:6" x14ac:dyDescent="0.25">
      <c r="A29" s="32" t="s">
        <v>101</v>
      </c>
      <c r="B29" s="44">
        <f>IF(OR(B27="",B28="",B28=0),0,(B27*1000)/B28)</f>
        <v>0</v>
      </c>
      <c r="C29" s="30"/>
      <c r="D29" s="30"/>
      <c r="E29" s="30"/>
      <c r="F29" s="30"/>
    </row>
    <row r="30" spans="1:6" x14ac:dyDescent="0.25">
      <c r="A30" s="32" t="s">
        <v>102</v>
      </c>
      <c r="B30" s="35">
        <f>IF(B29=0,0,B26/B29)</f>
        <v>0</v>
      </c>
      <c r="C30" s="30"/>
      <c r="D30" s="30"/>
      <c r="E30" s="30"/>
      <c r="F30" s="30"/>
    </row>
    <row r="31" spans="1:6" x14ac:dyDescent="0.25">
      <c r="A31" s="45" t="s">
        <v>103</v>
      </c>
      <c r="B31" s="46">
        <f>B30/(1-'Costos Generales'!B39)</f>
        <v>0</v>
      </c>
      <c r="C31" s="30"/>
      <c r="D31" s="30"/>
      <c r="E31" s="30"/>
      <c r="F31" s="30"/>
    </row>
    <row r="32" spans="1:6" x14ac:dyDescent="0.25">
      <c r="A32" s="30"/>
      <c r="B32" s="30"/>
      <c r="C32" s="30"/>
      <c r="D32" s="30"/>
      <c r="E32" s="30"/>
      <c r="F32" s="30"/>
    </row>
    <row r="33" spans="1:6" x14ac:dyDescent="0.25">
      <c r="A33" s="30"/>
      <c r="B33" s="30"/>
      <c r="C33" s="30"/>
      <c r="D33" s="30"/>
      <c r="E33" s="30"/>
      <c r="F33" s="30"/>
    </row>
    <row r="34" spans="1:6" ht="15.75" x14ac:dyDescent="0.25">
      <c r="A34" s="61" t="s">
        <v>104</v>
      </c>
      <c r="B34" s="62"/>
      <c r="C34" s="62"/>
      <c r="D34" s="62"/>
      <c r="E34" s="62"/>
      <c r="F34" s="62"/>
    </row>
    <row r="35" spans="1:6" x14ac:dyDescent="0.25">
      <c r="A35" s="63" t="s">
        <v>93</v>
      </c>
      <c r="B35" s="59"/>
      <c r="C35" s="59"/>
      <c r="D35" s="60"/>
      <c r="E35" s="29">
        <f>SUM(E37:E52)</f>
        <v>0</v>
      </c>
      <c r="F35" s="30"/>
    </row>
    <row r="36" spans="1:6" ht="30" x14ac:dyDescent="0.25">
      <c r="A36" s="31" t="s">
        <v>77</v>
      </c>
      <c r="B36" s="31" t="s">
        <v>78</v>
      </c>
      <c r="C36" s="31" t="s">
        <v>79</v>
      </c>
      <c r="D36" s="31" t="s">
        <v>94</v>
      </c>
      <c r="E36" s="31" t="s">
        <v>81</v>
      </c>
      <c r="F36" s="30"/>
    </row>
    <row r="37" spans="1:6" x14ac:dyDescent="0.25">
      <c r="A37" s="32" t="s">
        <v>143</v>
      </c>
      <c r="B37" s="33">
        <v>2</v>
      </c>
      <c r="C37" s="32" t="s">
        <v>85</v>
      </c>
      <c r="D37" s="34"/>
      <c r="E37" s="35">
        <f>IF(D37="",0,B37*D37)</f>
        <v>0</v>
      </c>
      <c r="F37" s="30"/>
    </row>
    <row r="38" spans="1:6" x14ac:dyDescent="0.25">
      <c r="A38" s="32" t="s">
        <v>144</v>
      </c>
      <c r="B38" s="33">
        <v>1000</v>
      </c>
      <c r="C38" s="32" t="s">
        <v>85</v>
      </c>
      <c r="D38" s="34"/>
      <c r="E38" s="35">
        <f>IF(D38="",0,B38*D38)</f>
        <v>0</v>
      </c>
      <c r="F38" s="30"/>
    </row>
    <row r="39" spans="1:6" x14ac:dyDescent="0.25">
      <c r="A39" s="32" t="s">
        <v>145</v>
      </c>
      <c r="B39" s="33"/>
      <c r="C39" s="32" t="s">
        <v>85</v>
      </c>
      <c r="D39" s="34"/>
      <c r="E39" s="35">
        <f>IF(D39="",0,B39*D39)</f>
        <v>0</v>
      </c>
      <c r="F39" s="30"/>
    </row>
    <row r="40" spans="1:6" x14ac:dyDescent="0.25">
      <c r="A40" s="32" t="s">
        <v>147</v>
      </c>
      <c r="B40" s="33"/>
      <c r="C40" s="32" t="s">
        <v>85</v>
      </c>
      <c r="D40" s="34"/>
      <c r="E40" s="35">
        <f>IF(D40="",0,B40*D40)</f>
        <v>0</v>
      </c>
      <c r="F40" s="30"/>
    </row>
    <row r="41" spans="1:6" x14ac:dyDescent="0.25">
      <c r="A41" s="36"/>
      <c r="B41" s="37"/>
      <c r="C41" s="32" t="s">
        <v>85</v>
      </c>
      <c r="D41" s="38"/>
      <c r="E41" s="38"/>
      <c r="F41" s="30"/>
    </row>
    <row r="42" spans="1:6" x14ac:dyDescent="0.25">
      <c r="A42" s="32"/>
      <c r="B42" s="39">
        <f>0.7*B41</f>
        <v>0</v>
      </c>
      <c r="C42" s="32" t="s">
        <v>85</v>
      </c>
      <c r="D42" s="34"/>
      <c r="E42" s="35">
        <f>IF(D42="",0,B42*D42)</f>
        <v>0</v>
      </c>
      <c r="F42" s="30"/>
    </row>
    <row r="43" spans="1:6" x14ac:dyDescent="0.25">
      <c r="A43" s="32"/>
      <c r="B43" s="39">
        <f>0.3*B41</f>
        <v>0</v>
      </c>
      <c r="C43" s="32" t="s">
        <v>85</v>
      </c>
      <c r="D43" s="34"/>
      <c r="E43" s="35">
        <f>IF(D43="",0,B43*D43)</f>
        <v>0</v>
      </c>
      <c r="F43" s="30"/>
    </row>
    <row r="44" spans="1:6" x14ac:dyDescent="0.25">
      <c r="A44" s="40"/>
      <c r="B44" s="33"/>
      <c r="C44" s="40"/>
      <c r="D44" s="34"/>
      <c r="E44" s="35">
        <f t="shared" ref="E44:E52" si="1">IF(OR(B44="",D44=""),0,B44*D44)</f>
        <v>0</v>
      </c>
      <c r="F44" s="30"/>
    </row>
    <row r="45" spans="1:6" x14ac:dyDescent="0.25">
      <c r="A45" s="40"/>
      <c r="B45" s="33"/>
      <c r="C45" s="40"/>
      <c r="D45" s="34"/>
      <c r="E45" s="35">
        <f t="shared" si="1"/>
        <v>0</v>
      </c>
      <c r="F45" s="30"/>
    </row>
    <row r="46" spans="1:6" x14ac:dyDescent="0.25">
      <c r="A46" s="40"/>
      <c r="B46" s="33"/>
      <c r="C46" s="40"/>
      <c r="D46" s="34"/>
      <c r="E46" s="35">
        <f t="shared" si="1"/>
        <v>0</v>
      </c>
      <c r="F46" s="30"/>
    </row>
    <row r="47" spans="1:6" x14ac:dyDescent="0.25">
      <c r="A47" s="40"/>
      <c r="B47" s="33"/>
      <c r="C47" s="40"/>
      <c r="D47" s="34"/>
      <c r="E47" s="35">
        <f t="shared" si="1"/>
        <v>0</v>
      </c>
      <c r="F47" s="30"/>
    </row>
    <row r="48" spans="1:6" x14ac:dyDescent="0.25">
      <c r="A48" s="40"/>
      <c r="B48" s="33"/>
      <c r="C48" s="40"/>
      <c r="D48" s="34"/>
      <c r="E48" s="35">
        <f t="shared" si="1"/>
        <v>0</v>
      </c>
      <c r="F48" s="30"/>
    </row>
    <row r="49" spans="1:6" x14ac:dyDescent="0.25">
      <c r="A49" s="40"/>
      <c r="B49" s="33"/>
      <c r="C49" s="40"/>
      <c r="D49" s="34"/>
      <c r="E49" s="35">
        <f t="shared" si="1"/>
        <v>0</v>
      </c>
      <c r="F49" s="30"/>
    </row>
    <row r="50" spans="1:6" x14ac:dyDescent="0.25">
      <c r="A50" s="40"/>
      <c r="B50" s="33"/>
      <c r="C50" s="40"/>
      <c r="D50" s="34"/>
      <c r="E50" s="35">
        <f t="shared" si="1"/>
        <v>0</v>
      </c>
      <c r="F50" s="30"/>
    </row>
    <row r="51" spans="1:6" x14ac:dyDescent="0.25">
      <c r="A51" s="40"/>
      <c r="B51" s="33"/>
      <c r="C51" s="40"/>
      <c r="D51" s="34"/>
      <c r="E51" s="35">
        <f t="shared" si="1"/>
        <v>0</v>
      </c>
      <c r="F51" s="30"/>
    </row>
    <row r="52" spans="1:6" x14ac:dyDescent="0.25">
      <c r="A52" s="40"/>
      <c r="B52" s="33"/>
      <c r="C52" s="40"/>
      <c r="D52" s="34"/>
      <c r="E52" s="35">
        <f t="shared" si="1"/>
        <v>0</v>
      </c>
      <c r="F52" s="30"/>
    </row>
    <row r="53" spans="1:6" x14ac:dyDescent="0.25">
      <c r="A53" s="32" t="s">
        <v>96</v>
      </c>
      <c r="B53" s="35">
        <f>E35</f>
        <v>0</v>
      </c>
      <c r="C53" s="30"/>
      <c r="D53" s="30"/>
      <c r="E53" s="30"/>
      <c r="F53" s="30"/>
    </row>
    <row r="54" spans="1:6" x14ac:dyDescent="0.25">
      <c r="A54" s="32" t="s">
        <v>97</v>
      </c>
      <c r="B54" s="35">
        <f>'Costos Generales'!E4</f>
        <v>576.20000000000005</v>
      </c>
      <c r="C54" s="30"/>
      <c r="D54" s="30"/>
      <c r="E54" s="30"/>
      <c r="F54" s="30"/>
    </row>
    <row r="55" spans="1:6" x14ac:dyDescent="0.25">
      <c r="A55" s="41" t="s">
        <v>98</v>
      </c>
      <c r="B55" s="42">
        <f>B53+B54</f>
        <v>576.20000000000005</v>
      </c>
      <c r="C55" s="30"/>
      <c r="D55" s="30"/>
      <c r="E55" s="30"/>
      <c r="F55" s="30"/>
    </row>
    <row r="56" spans="1:6" x14ac:dyDescent="0.25">
      <c r="A56" s="32" t="s">
        <v>99</v>
      </c>
      <c r="B56" s="43"/>
      <c r="C56" s="30"/>
      <c r="D56" s="30"/>
      <c r="E56" s="30"/>
      <c r="F56" s="30"/>
    </row>
    <row r="57" spans="1:6" x14ac:dyDescent="0.25">
      <c r="A57" s="32" t="s">
        <v>100</v>
      </c>
      <c r="B57" s="37"/>
      <c r="C57" s="30"/>
      <c r="D57" s="30"/>
      <c r="E57" s="30"/>
      <c r="F57" s="30"/>
    </row>
    <row r="58" spans="1:6" x14ac:dyDescent="0.25">
      <c r="A58" s="32" t="s">
        <v>101</v>
      </c>
      <c r="B58" s="44">
        <f>IF(OR(B56="",B57="",B57=0),0,(B56*1000)/B57)</f>
        <v>0</v>
      </c>
      <c r="C58" s="30"/>
      <c r="D58" s="30"/>
      <c r="E58" s="30"/>
      <c r="F58" s="30"/>
    </row>
    <row r="59" spans="1:6" x14ac:dyDescent="0.25">
      <c r="A59" s="32" t="s">
        <v>102</v>
      </c>
      <c r="B59" s="35">
        <f>IF(B58=0,0,B55/B58)</f>
        <v>0</v>
      </c>
      <c r="C59" s="30"/>
      <c r="D59" s="30"/>
      <c r="E59" s="30"/>
      <c r="F59" s="30"/>
    </row>
    <row r="60" spans="1:6" x14ac:dyDescent="0.25">
      <c r="A60" s="45" t="s">
        <v>103</v>
      </c>
      <c r="B60" s="46">
        <f>B59/(1-'Costos Generales'!B39)</f>
        <v>0</v>
      </c>
      <c r="C60" s="30"/>
      <c r="D60" s="30"/>
      <c r="E60" s="30"/>
      <c r="F60" s="30"/>
    </row>
    <row r="61" spans="1:6" x14ac:dyDescent="0.25">
      <c r="A61" s="30"/>
      <c r="B61" s="30"/>
      <c r="C61" s="30"/>
      <c r="D61" s="30"/>
      <c r="E61" s="30"/>
      <c r="F61" s="30"/>
    </row>
    <row r="62" spans="1:6" x14ac:dyDescent="0.25">
      <c r="A62" s="30"/>
      <c r="B62" s="30"/>
      <c r="C62" s="30"/>
      <c r="D62" s="30"/>
      <c r="E62" s="30"/>
      <c r="F62" s="30"/>
    </row>
    <row r="63" spans="1:6" ht="15.75" x14ac:dyDescent="0.25">
      <c r="A63" s="61" t="s">
        <v>108</v>
      </c>
      <c r="B63" s="62"/>
      <c r="C63" s="62"/>
      <c r="D63" s="62"/>
      <c r="E63" s="62"/>
      <c r="F63" s="62"/>
    </row>
    <row r="64" spans="1:6" x14ac:dyDescent="0.25">
      <c r="A64" s="63" t="s">
        <v>93</v>
      </c>
      <c r="B64" s="59"/>
      <c r="C64" s="59"/>
      <c r="D64" s="60"/>
      <c r="E64" s="29">
        <f>SUM(E66:E81)</f>
        <v>0</v>
      </c>
      <c r="F64" s="30"/>
    </row>
    <row r="65" spans="1:6" ht="30" x14ac:dyDescent="0.25">
      <c r="A65" s="31" t="s">
        <v>77</v>
      </c>
      <c r="B65" s="31" t="s">
        <v>78</v>
      </c>
      <c r="C65" s="31" t="s">
        <v>79</v>
      </c>
      <c r="D65" s="31" t="s">
        <v>94</v>
      </c>
      <c r="E65" s="31" t="s">
        <v>81</v>
      </c>
      <c r="F65" s="30"/>
    </row>
    <row r="66" spans="1:6" x14ac:dyDescent="0.25">
      <c r="A66" s="32" t="s">
        <v>106</v>
      </c>
      <c r="B66" s="33">
        <v>3</v>
      </c>
      <c r="C66" s="32" t="s">
        <v>85</v>
      </c>
      <c r="D66" s="34"/>
      <c r="E66" s="35">
        <f t="shared" ref="E66:E71" si="2">IF(D66="",0,B66*D66)</f>
        <v>0</v>
      </c>
      <c r="F66" s="30"/>
    </row>
    <row r="67" spans="1:6" x14ac:dyDescent="0.25">
      <c r="A67" s="32" t="s">
        <v>109</v>
      </c>
      <c r="B67" s="33">
        <v>2</v>
      </c>
      <c r="C67" s="32" t="s">
        <v>85</v>
      </c>
      <c r="D67" s="34"/>
      <c r="E67" s="35">
        <f t="shared" si="2"/>
        <v>0</v>
      </c>
      <c r="F67" s="30"/>
    </row>
    <row r="68" spans="1:6" x14ac:dyDescent="0.25">
      <c r="A68" s="32" t="s">
        <v>148</v>
      </c>
      <c r="B68" s="33">
        <v>1.5</v>
      </c>
      <c r="C68" s="32" t="s">
        <v>85</v>
      </c>
      <c r="D68" s="34"/>
      <c r="E68" s="35">
        <f t="shared" si="2"/>
        <v>0</v>
      </c>
      <c r="F68" s="30"/>
    </row>
    <row r="69" spans="1:6" x14ac:dyDescent="0.25">
      <c r="A69" s="32" t="s">
        <v>149</v>
      </c>
      <c r="B69" s="33">
        <v>1</v>
      </c>
      <c r="C69" s="32" t="s">
        <v>85</v>
      </c>
      <c r="D69" s="34"/>
      <c r="E69" s="35">
        <f t="shared" si="2"/>
        <v>0</v>
      </c>
      <c r="F69" s="30"/>
    </row>
    <row r="70" spans="1:6" x14ac:dyDescent="0.25">
      <c r="A70" s="32" t="s">
        <v>110</v>
      </c>
      <c r="B70" s="33">
        <v>1</v>
      </c>
      <c r="C70" s="32" t="s">
        <v>85</v>
      </c>
      <c r="D70" s="34"/>
      <c r="E70" s="35">
        <f t="shared" si="2"/>
        <v>0</v>
      </c>
      <c r="F70" s="30"/>
    </row>
    <row r="71" spans="1:6" x14ac:dyDescent="0.25">
      <c r="A71" s="32" t="s">
        <v>150</v>
      </c>
      <c r="B71" s="33">
        <v>1</v>
      </c>
      <c r="C71" s="32" t="s">
        <v>85</v>
      </c>
      <c r="D71" s="34"/>
      <c r="E71" s="35">
        <f t="shared" si="2"/>
        <v>0</v>
      </c>
      <c r="F71" s="30"/>
    </row>
    <row r="72" spans="1:6" x14ac:dyDescent="0.25">
      <c r="A72" s="36" t="s">
        <v>145</v>
      </c>
      <c r="B72" s="37"/>
      <c r="C72" s="32" t="s">
        <v>85</v>
      </c>
      <c r="D72" s="38"/>
      <c r="E72" s="38"/>
      <c r="F72" s="30"/>
    </row>
    <row r="73" spans="1:6" x14ac:dyDescent="0.25">
      <c r="A73" s="32" t="s">
        <v>151</v>
      </c>
      <c r="B73" s="39"/>
      <c r="C73" s="32" t="s">
        <v>85</v>
      </c>
      <c r="D73" s="34"/>
      <c r="E73" s="35">
        <f>IF(D73="",0,B73*D73)</f>
        <v>0</v>
      </c>
      <c r="F73" s="30"/>
    </row>
    <row r="74" spans="1:6" x14ac:dyDescent="0.25">
      <c r="A74" s="32" t="s">
        <v>152</v>
      </c>
      <c r="B74" s="39">
        <v>1000</v>
      </c>
      <c r="C74" s="32" t="s">
        <v>85</v>
      </c>
      <c r="D74" s="34"/>
      <c r="E74" s="35">
        <f>IF(D74="",0,B74*D74)</f>
        <v>0</v>
      </c>
      <c r="F74" s="30"/>
    </row>
    <row r="75" spans="1:6" x14ac:dyDescent="0.25">
      <c r="A75" s="40"/>
      <c r="B75" s="33"/>
      <c r="C75" s="40"/>
      <c r="D75" s="34"/>
      <c r="E75" s="35">
        <f t="shared" ref="E75:E81" si="3">IF(OR(B75="",D75=""),0,B75*D75)</f>
        <v>0</v>
      </c>
      <c r="F75" s="30"/>
    </row>
    <row r="76" spans="1:6" x14ac:dyDescent="0.25">
      <c r="A76" s="40"/>
      <c r="B76" s="33"/>
      <c r="C76" s="40"/>
      <c r="D76" s="34"/>
      <c r="E76" s="35">
        <f t="shared" si="3"/>
        <v>0</v>
      </c>
      <c r="F76" s="30"/>
    </row>
    <row r="77" spans="1:6" x14ac:dyDescent="0.25">
      <c r="A77" s="40"/>
      <c r="B77" s="33"/>
      <c r="C77" s="40"/>
      <c r="D77" s="34"/>
      <c r="E77" s="35">
        <f t="shared" si="3"/>
        <v>0</v>
      </c>
      <c r="F77" s="30"/>
    </row>
    <row r="78" spans="1:6" x14ac:dyDescent="0.25">
      <c r="A78" s="40"/>
      <c r="B78" s="33"/>
      <c r="C78" s="40"/>
      <c r="D78" s="34"/>
      <c r="E78" s="35">
        <f t="shared" si="3"/>
        <v>0</v>
      </c>
      <c r="F78" s="30"/>
    </row>
    <row r="79" spans="1:6" x14ac:dyDescent="0.25">
      <c r="A79" s="40"/>
      <c r="B79" s="33"/>
      <c r="C79" s="40"/>
      <c r="D79" s="34"/>
      <c r="E79" s="35">
        <f t="shared" si="3"/>
        <v>0</v>
      </c>
      <c r="F79" s="30"/>
    </row>
    <row r="80" spans="1:6" x14ac:dyDescent="0.25">
      <c r="A80" s="40"/>
      <c r="B80" s="33"/>
      <c r="C80" s="40"/>
      <c r="D80" s="34"/>
      <c r="E80" s="35">
        <f t="shared" si="3"/>
        <v>0</v>
      </c>
      <c r="F80" s="30"/>
    </row>
    <row r="81" spans="1:6" x14ac:dyDescent="0.25">
      <c r="A81" s="40"/>
      <c r="B81" s="33"/>
      <c r="C81" s="40"/>
      <c r="D81" s="34"/>
      <c r="E81" s="35">
        <f t="shared" si="3"/>
        <v>0</v>
      </c>
      <c r="F81" s="30"/>
    </row>
    <row r="82" spans="1:6" x14ac:dyDescent="0.25">
      <c r="A82" s="32" t="s">
        <v>96</v>
      </c>
      <c r="B82" s="35">
        <f>E64</f>
        <v>0</v>
      </c>
      <c r="C82" s="30"/>
      <c r="D82" s="30"/>
      <c r="E82" s="30"/>
      <c r="F82" s="30"/>
    </row>
    <row r="83" spans="1:6" x14ac:dyDescent="0.25">
      <c r="A83" s="32" t="s">
        <v>97</v>
      </c>
      <c r="B83" s="35">
        <f>'Costos Generales'!E4</f>
        <v>576.20000000000005</v>
      </c>
      <c r="C83" s="30"/>
      <c r="D83" s="30"/>
      <c r="E83" s="30"/>
      <c r="F83" s="30"/>
    </row>
    <row r="84" spans="1:6" x14ac:dyDescent="0.25">
      <c r="A84" s="41" t="s">
        <v>98</v>
      </c>
      <c r="B84" s="42">
        <f>B82+B83</f>
        <v>576.20000000000005</v>
      </c>
      <c r="C84" s="30"/>
      <c r="D84" s="30"/>
      <c r="E84" s="30"/>
      <c r="F84" s="30"/>
    </row>
    <row r="85" spans="1:6" x14ac:dyDescent="0.25">
      <c r="A85" s="32" t="s">
        <v>99</v>
      </c>
      <c r="B85" s="43"/>
      <c r="C85" s="30"/>
      <c r="D85" s="30"/>
      <c r="E85" s="30"/>
      <c r="F85" s="30"/>
    </row>
    <row r="86" spans="1:6" x14ac:dyDescent="0.25">
      <c r="A86" s="32" t="s">
        <v>100</v>
      </c>
      <c r="B86" s="37"/>
      <c r="C86" s="30"/>
      <c r="D86" s="30"/>
      <c r="E86" s="30"/>
      <c r="F86" s="30"/>
    </row>
    <row r="87" spans="1:6" x14ac:dyDescent="0.25">
      <c r="A87" s="32" t="s">
        <v>101</v>
      </c>
      <c r="B87" s="44">
        <f>IF(OR(B85="",B86="",B86=0),0,(B85*1000)/B86)</f>
        <v>0</v>
      </c>
      <c r="C87" s="30"/>
      <c r="D87" s="30"/>
      <c r="E87" s="30"/>
      <c r="F87" s="30"/>
    </row>
    <row r="88" spans="1:6" x14ac:dyDescent="0.25">
      <c r="A88" s="32" t="s">
        <v>102</v>
      </c>
      <c r="B88" s="35">
        <f>IF(B87=0,0,B84/B87)</f>
        <v>0</v>
      </c>
      <c r="C88" s="30"/>
      <c r="D88" s="30"/>
      <c r="E88" s="30"/>
      <c r="F88" s="30"/>
    </row>
    <row r="89" spans="1:6" x14ac:dyDescent="0.25">
      <c r="A89" s="45" t="s">
        <v>103</v>
      </c>
      <c r="B89" s="46">
        <f>B88/(1-'Costos Generales'!B39)</f>
        <v>0</v>
      </c>
      <c r="C89" s="30"/>
      <c r="D89" s="30"/>
      <c r="E89" s="30"/>
      <c r="F89" s="30"/>
    </row>
    <row r="90" spans="1:6" x14ac:dyDescent="0.25">
      <c r="A90" s="30"/>
      <c r="B90" s="30"/>
      <c r="C90" s="30"/>
      <c r="D90" s="30"/>
      <c r="E90" s="30"/>
      <c r="F90" s="30"/>
    </row>
    <row r="91" spans="1:6" x14ac:dyDescent="0.25">
      <c r="A91" s="30"/>
      <c r="B91" s="30"/>
      <c r="C91" s="30"/>
      <c r="D91" s="30"/>
      <c r="E91" s="30"/>
      <c r="F91" s="30"/>
    </row>
    <row r="92" spans="1:6" ht="15.75" x14ac:dyDescent="0.25">
      <c r="A92" s="61" t="s">
        <v>111</v>
      </c>
      <c r="B92" s="62"/>
      <c r="C92" s="62"/>
      <c r="D92" s="62"/>
      <c r="E92" s="62"/>
      <c r="F92" s="62"/>
    </row>
    <row r="93" spans="1:6" x14ac:dyDescent="0.25">
      <c r="A93" s="63" t="s">
        <v>93</v>
      </c>
      <c r="B93" s="59"/>
      <c r="C93" s="59"/>
      <c r="D93" s="60"/>
      <c r="E93" s="29">
        <f>SUM(E95:E110)</f>
        <v>0</v>
      </c>
      <c r="F93" s="30"/>
    </row>
    <row r="94" spans="1:6" ht="30" x14ac:dyDescent="0.25">
      <c r="A94" s="31" t="s">
        <v>77</v>
      </c>
      <c r="B94" s="31" t="s">
        <v>78</v>
      </c>
      <c r="C94" s="31" t="s">
        <v>79</v>
      </c>
      <c r="D94" s="31" t="s">
        <v>94</v>
      </c>
      <c r="E94" s="31" t="s">
        <v>81</v>
      </c>
      <c r="F94" s="30"/>
    </row>
    <row r="95" spans="1:6" x14ac:dyDescent="0.25">
      <c r="A95" s="32" t="s">
        <v>143</v>
      </c>
      <c r="B95" s="33">
        <v>2</v>
      </c>
      <c r="C95" s="32" t="s">
        <v>85</v>
      </c>
      <c r="D95" s="34"/>
      <c r="E95" s="35">
        <f>IF(D95="",0,B95*D95)</f>
        <v>0</v>
      </c>
      <c r="F95" s="30"/>
    </row>
    <row r="96" spans="1:6" x14ac:dyDescent="0.25">
      <c r="A96" s="36" t="s">
        <v>152</v>
      </c>
      <c r="B96" s="37">
        <v>1000</v>
      </c>
      <c r="C96" s="32" t="s">
        <v>85</v>
      </c>
      <c r="D96" s="38"/>
      <c r="E96" s="38"/>
      <c r="F96" s="30"/>
    </row>
    <row r="97" spans="1:6" x14ac:dyDescent="0.25">
      <c r="A97" s="32" t="s">
        <v>145</v>
      </c>
      <c r="B97" s="39"/>
      <c r="C97" s="32" t="s">
        <v>85</v>
      </c>
      <c r="D97" s="34"/>
      <c r="E97" s="35">
        <f>IF(D97="",0,B97*D97)</f>
        <v>0</v>
      </c>
      <c r="F97" s="30"/>
    </row>
    <row r="98" spans="1:6" x14ac:dyDescent="0.25">
      <c r="A98" s="36" t="s">
        <v>146</v>
      </c>
      <c r="B98" s="37"/>
      <c r="C98" s="32" t="s">
        <v>85</v>
      </c>
      <c r="D98" s="38"/>
      <c r="E98" s="38"/>
      <c r="F98" s="30"/>
    </row>
    <row r="99" spans="1:6" x14ac:dyDescent="0.25">
      <c r="A99" s="32" t="s">
        <v>153</v>
      </c>
      <c r="B99" s="39"/>
      <c r="C99" s="32" t="s">
        <v>85</v>
      </c>
      <c r="D99" s="34"/>
      <c r="E99" s="35">
        <f>IF(D99="",0,B99*D99)</f>
        <v>0</v>
      </c>
      <c r="F99" s="30"/>
    </row>
    <row r="100" spans="1:6" x14ac:dyDescent="0.25">
      <c r="A100" s="32" t="s">
        <v>154</v>
      </c>
      <c r="B100" s="39"/>
      <c r="C100" s="32" t="s">
        <v>85</v>
      </c>
      <c r="D100" s="34"/>
      <c r="E100" s="35">
        <f>IF(D100="",0,B100*D100)</f>
        <v>0</v>
      </c>
      <c r="F100" s="30"/>
    </row>
    <row r="101" spans="1:6" x14ac:dyDescent="0.25">
      <c r="A101" s="40"/>
      <c r="B101" s="33"/>
      <c r="C101" s="40"/>
      <c r="D101" s="34"/>
      <c r="E101" s="35">
        <f t="shared" ref="E101:E110" si="4">IF(OR(B101="",D101=""),0,B101*D101)</f>
        <v>0</v>
      </c>
      <c r="F101" s="30"/>
    </row>
    <row r="102" spans="1:6" x14ac:dyDescent="0.25">
      <c r="A102" s="40"/>
      <c r="B102" s="33"/>
      <c r="C102" s="40"/>
      <c r="D102" s="34"/>
      <c r="E102" s="35">
        <f t="shared" si="4"/>
        <v>0</v>
      </c>
      <c r="F102" s="30"/>
    </row>
    <row r="103" spans="1:6" x14ac:dyDescent="0.25">
      <c r="A103" s="40"/>
      <c r="B103" s="33"/>
      <c r="C103" s="40"/>
      <c r="D103" s="34"/>
      <c r="E103" s="35">
        <f t="shared" si="4"/>
        <v>0</v>
      </c>
      <c r="F103" s="30"/>
    </row>
    <row r="104" spans="1:6" x14ac:dyDescent="0.25">
      <c r="A104" s="40"/>
      <c r="B104" s="33"/>
      <c r="C104" s="40"/>
      <c r="D104" s="34"/>
      <c r="E104" s="35">
        <f t="shared" si="4"/>
        <v>0</v>
      </c>
      <c r="F104" s="30"/>
    </row>
    <row r="105" spans="1:6" x14ac:dyDescent="0.25">
      <c r="A105" s="40"/>
      <c r="B105" s="33"/>
      <c r="C105" s="40"/>
      <c r="D105" s="34"/>
      <c r="E105" s="35">
        <f t="shared" si="4"/>
        <v>0</v>
      </c>
      <c r="F105" s="30"/>
    </row>
    <row r="106" spans="1:6" x14ac:dyDescent="0.25">
      <c r="A106" s="40"/>
      <c r="B106" s="33"/>
      <c r="C106" s="40"/>
      <c r="D106" s="34"/>
      <c r="E106" s="35">
        <f t="shared" si="4"/>
        <v>0</v>
      </c>
      <c r="F106" s="30"/>
    </row>
    <row r="107" spans="1:6" x14ac:dyDescent="0.25">
      <c r="A107" s="40"/>
      <c r="B107" s="33"/>
      <c r="C107" s="40"/>
      <c r="D107" s="34"/>
      <c r="E107" s="35">
        <f t="shared" si="4"/>
        <v>0</v>
      </c>
      <c r="F107" s="30"/>
    </row>
    <row r="108" spans="1:6" x14ac:dyDescent="0.25">
      <c r="A108" s="40"/>
      <c r="B108" s="33"/>
      <c r="C108" s="40"/>
      <c r="D108" s="34"/>
      <c r="E108" s="35">
        <f t="shared" si="4"/>
        <v>0</v>
      </c>
      <c r="F108" s="30"/>
    </row>
    <row r="109" spans="1:6" x14ac:dyDescent="0.25">
      <c r="A109" s="40"/>
      <c r="B109" s="33"/>
      <c r="C109" s="40"/>
      <c r="D109" s="34"/>
      <c r="E109" s="35">
        <f t="shared" si="4"/>
        <v>0</v>
      </c>
      <c r="F109" s="30"/>
    </row>
    <row r="110" spans="1:6" x14ac:dyDescent="0.25">
      <c r="A110" s="40"/>
      <c r="B110" s="33"/>
      <c r="C110" s="40"/>
      <c r="D110" s="34"/>
      <c r="E110" s="35">
        <f t="shared" si="4"/>
        <v>0</v>
      </c>
      <c r="F110" s="30"/>
    </row>
    <row r="111" spans="1:6" x14ac:dyDescent="0.25">
      <c r="A111" s="32" t="s">
        <v>96</v>
      </c>
      <c r="B111" s="35">
        <f>E93</f>
        <v>0</v>
      </c>
      <c r="C111" s="30"/>
      <c r="D111" s="30"/>
      <c r="E111" s="30"/>
      <c r="F111" s="30"/>
    </row>
    <row r="112" spans="1:6" x14ac:dyDescent="0.25">
      <c r="A112" s="32" t="s">
        <v>97</v>
      </c>
      <c r="B112" s="35">
        <f>'Costos Generales'!E4</f>
        <v>576.20000000000005</v>
      </c>
      <c r="C112" s="30"/>
      <c r="D112" s="30"/>
      <c r="E112" s="30"/>
      <c r="F112" s="30"/>
    </row>
    <row r="113" spans="1:6" x14ac:dyDescent="0.25">
      <c r="A113" s="41" t="s">
        <v>98</v>
      </c>
      <c r="B113" s="42">
        <f>B111+B112</f>
        <v>576.20000000000005</v>
      </c>
      <c r="C113" s="30"/>
      <c r="D113" s="30"/>
      <c r="E113" s="30"/>
      <c r="F113" s="30"/>
    </row>
    <row r="114" spans="1:6" x14ac:dyDescent="0.25">
      <c r="A114" s="32" t="s">
        <v>99</v>
      </c>
      <c r="B114" s="43"/>
      <c r="C114" s="30"/>
      <c r="D114" s="30"/>
      <c r="E114" s="30"/>
      <c r="F114" s="30"/>
    </row>
    <row r="115" spans="1:6" x14ac:dyDescent="0.25">
      <c r="A115" s="32" t="s">
        <v>100</v>
      </c>
      <c r="B115" s="37"/>
      <c r="C115" s="30"/>
      <c r="D115" s="30"/>
      <c r="E115" s="30"/>
      <c r="F115" s="30"/>
    </row>
    <row r="116" spans="1:6" x14ac:dyDescent="0.25">
      <c r="A116" s="32" t="s">
        <v>101</v>
      </c>
      <c r="B116" s="44">
        <f>IF(OR(B114="",B115="",B115=0),0,(B114*1000)/B115)</f>
        <v>0</v>
      </c>
      <c r="C116" s="30"/>
      <c r="D116" s="30"/>
      <c r="E116" s="30"/>
      <c r="F116" s="30"/>
    </row>
    <row r="117" spans="1:6" x14ac:dyDescent="0.25">
      <c r="A117" s="32" t="s">
        <v>102</v>
      </c>
      <c r="B117" s="35">
        <f>IF(B116=0,0,B113/B116)</f>
        <v>0</v>
      </c>
      <c r="C117" s="30"/>
      <c r="D117" s="30"/>
      <c r="E117" s="30"/>
      <c r="F117" s="30"/>
    </row>
    <row r="118" spans="1:6" x14ac:dyDescent="0.25">
      <c r="A118" s="45" t="s">
        <v>103</v>
      </c>
      <c r="B118" s="46">
        <f>B117/(1-'Costos Generales'!B39)</f>
        <v>0</v>
      </c>
      <c r="C118" s="30"/>
      <c r="D118" s="30"/>
      <c r="E118" s="30"/>
      <c r="F118" s="30"/>
    </row>
    <row r="119" spans="1:6" x14ac:dyDescent="0.25">
      <c r="A119" s="30"/>
      <c r="B119" s="30"/>
      <c r="C119" s="30"/>
      <c r="D119" s="30"/>
      <c r="E119" s="30"/>
      <c r="F119" s="30"/>
    </row>
    <row r="120" spans="1:6" x14ac:dyDescent="0.25">
      <c r="A120" s="30"/>
      <c r="B120" s="30"/>
      <c r="C120" s="30"/>
      <c r="D120" s="30"/>
      <c r="E120" s="30"/>
      <c r="F120" s="30"/>
    </row>
    <row r="121" spans="1:6" ht="15.75" x14ac:dyDescent="0.25">
      <c r="A121" s="61" t="s">
        <v>133</v>
      </c>
      <c r="B121" s="62"/>
      <c r="C121" s="62"/>
      <c r="D121" s="62"/>
      <c r="E121" s="62"/>
      <c r="F121" s="62"/>
    </row>
    <row r="122" spans="1:6" x14ac:dyDescent="0.25">
      <c r="A122" s="63" t="s">
        <v>93</v>
      </c>
      <c r="B122" s="59"/>
      <c r="C122" s="59"/>
      <c r="D122" s="60"/>
      <c r="E122" s="29">
        <f>SUM(E124:E139)</f>
        <v>0</v>
      </c>
      <c r="F122" s="30"/>
    </row>
    <row r="123" spans="1:6" ht="30" x14ac:dyDescent="0.25">
      <c r="A123" s="31" t="s">
        <v>77</v>
      </c>
      <c r="B123" s="31" t="s">
        <v>78</v>
      </c>
      <c r="C123" s="31" t="s">
        <v>79</v>
      </c>
      <c r="D123" s="31" t="s">
        <v>94</v>
      </c>
      <c r="E123" s="31" t="s">
        <v>81</v>
      </c>
      <c r="F123" s="30"/>
    </row>
    <row r="124" spans="1:6" x14ac:dyDescent="0.25">
      <c r="A124" s="32" t="s">
        <v>155</v>
      </c>
      <c r="B124" s="33">
        <v>2</v>
      </c>
      <c r="C124" s="32" t="s">
        <v>112</v>
      </c>
      <c r="D124" s="34"/>
      <c r="E124" s="35">
        <f t="shared" ref="E124:E131" si="5">IF(D124="",0,B124*D124)</f>
        <v>0</v>
      </c>
      <c r="F124" s="30"/>
    </row>
    <row r="125" spans="1:6" x14ac:dyDescent="0.25">
      <c r="A125" s="32" t="s">
        <v>143</v>
      </c>
      <c r="B125" s="33">
        <v>1</v>
      </c>
      <c r="C125" s="32" t="s">
        <v>85</v>
      </c>
      <c r="D125" s="34"/>
      <c r="E125" s="35">
        <f t="shared" si="5"/>
        <v>0</v>
      </c>
      <c r="F125" s="30"/>
    </row>
    <row r="126" spans="1:6" x14ac:dyDescent="0.25">
      <c r="A126" s="32" t="s">
        <v>113</v>
      </c>
      <c r="B126" s="33">
        <v>1</v>
      </c>
      <c r="C126" s="32" t="s">
        <v>85</v>
      </c>
      <c r="D126" s="34"/>
      <c r="E126" s="35">
        <f t="shared" si="5"/>
        <v>0</v>
      </c>
      <c r="F126" s="30"/>
    </row>
    <row r="127" spans="1:6" x14ac:dyDescent="0.25">
      <c r="A127" s="32" t="s">
        <v>114</v>
      </c>
      <c r="B127" s="33">
        <v>1</v>
      </c>
      <c r="C127" s="32" t="s">
        <v>85</v>
      </c>
      <c r="D127" s="34"/>
      <c r="E127" s="35">
        <f t="shared" si="5"/>
        <v>0</v>
      </c>
      <c r="F127" s="30"/>
    </row>
    <row r="128" spans="1:6" x14ac:dyDescent="0.25">
      <c r="A128" s="32" t="s">
        <v>95</v>
      </c>
      <c r="B128" s="33">
        <v>1</v>
      </c>
      <c r="C128" s="32" t="s">
        <v>85</v>
      </c>
      <c r="D128" s="34"/>
      <c r="E128" s="35">
        <f t="shared" si="5"/>
        <v>0</v>
      </c>
      <c r="F128" s="30"/>
    </row>
    <row r="129" spans="1:6" x14ac:dyDescent="0.25">
      <c r="A129" s="32" t="s">
        <v>156</v>
      </c>
      <c r="B129" s="33">
        <v>1</v>
      </c>
      <c r="C129" s="32" t="s">
        <v>85</v>
      </c>
      <c r="D129" s="34"/>
      <c r="E129" s="35">
        <f t="shared" si="5"/>
        <v>0</v>
      </c>
      <c r="F129" s="30"/>
    </row>
    <row r="130" spans="1:6" x14ac:dyDescent="0.25">
      <c r="A130" s="32" t="s">
        <v>157</v>
      </c>
      <c r="B130" s="33">
        <v>1</v>
      </c>
      <c r="C130" s="32" t="s">
        <v>85</v>
      </c>
      <c r="D130" s="34"/>
      <c r="E130" s="35">
        <f t="shared" si="5"/>
        <v>0</v>
      </c>
      <c r="F130" s="30"/>
    </row>
    <row r="131" spans="1:6" x14ac:dyDescent="0.25">
      <c r="A131" s="36" t="s">
        <v>107</v>
      </c>
      <c r="B131" s="37">
        <v>1</v>
      </c>
      <c r="C131" s="32" t="s">
        <v>85</v>
      </c>
      <c r="D131" s="38">
        <v>0</v>
      </c>
      <c r="E131" s="38">
        <f t="shared" si="5"/>
        <v>0</v>
      </c>
      <c r="F131" s="30"/>
    </row>
    <row r="132" spans="1:6" x14ac:dyDescent="0.25">
      <c r="A132" s="32" t="s">
        <v>144</v>
      </c>
      <c r="B132" s="39">
        <v>1000</v>
      </c>
      <c r="C132" s="32" t="s">
        <v>85</v>
      </c>
      <c r="D132" s="34"/>
      <c r="E132" s="35">
        <f>IF(D132="",0,B132*D132)</f>
        <v>0</v>
      </c>
      <c r="F132" s="30"/>
    </row>
    <row r="133" spans="1:6" x14ac:dyDescent="0.25">
      <c r="A133" s="40" t="s">
        <v>145</v>
      </c>
      <c r="B133" s="33"/>
      <c r="C133" s="40"/>
      <c r="D133" s="34"/>
      <c r="E133" s="35">
        <f t="shared" ref="E133:E139" si="6">IF(OR(B133="",D133=""),0,B133*D133)</f>
        <v>0</v>
      </c>
      <c r="F133" s="30"/>
    </row>
    <row r="134" spans="1:6" x14ac:dyDescent="0.25">
      <c r="A134" s="40" t="s">
        <v>158</v>
      </c>
      <c r="B134" s="33"/>
      <c r="C134" s="40"/>
      <c r="D134" s="34"/>
      <c r="E134" s="35">
        <f t="shared" si="6"/>
        <v>0</v>
      </c>
      <c r="F134" s="30"/>
    </row>
    <row r="135" spans="1:6" x14ac:dyDescent="0.25">
      <c r="A135" s="40"/>
      <c r="B135" s="33"/>
      <c r="C135" s="40"/>
      <c r="D135" s="34"/>
      <c r="E135" s="35">
        <f t="shared" si="6"/>
        <v>0</v>
      </c>
      <c r="F135" s="30"/>
    </row>
    <row r="136" spans="1:6" x14ac:dyDescent="0.25">
      <c r="A136" s="40"/>
      <c r="B136" s="33"/>
      <c r="C136" s="40"/>
      <c r="D136" s="34"/>
      <c r="E136" s="35">
        <f t="shared" si="6"/>
        <v>0</v>
      </c>
      <c r="F136" s="30"/>
    </row>
    <row r="137" spans="1:6" x14ac:dyDescent="0.25">
      <c r="A137" s="40"/>
      <c r="B137" s="33"/>
      <c r="C137" s="40"/>
      <c r="D137" s="34"/>
      <c r="E137" s="35">
        <f t="shared" si="6"/>
        <v>0</v>
      </c>
      <c r="F137" s="30"/>
    </row>
    <row r="138" spans="1:6" x14ac:dyDescent="0.25">
      <c r="A138" s="40"/>
      <c r="B138" s="33"/>
      <c r="C138" s="40"/>
      <c r="D138" s="34"/>
      <c r="E138" s="35">
        <f t="shared" si="6"/>
        <v>0</v>
      </c>
      <c r="F138" s="30"/>
    </row>
    <row r="139" spans="1:6" x14ac:dyDescent="0.25">
      <c r="A139" s="40"/>
      <c r="B139" s="33"/>
      <c r="C139" s="40"/>
      <c r="D139" s="34"/>
      <c r="E139" s="35">
        <f t="shared" si="6"/>
        <v>0</v>
      </c>
      <c r="F139" s="30"/>
    </row>
    <row r="140" spans="1:6" x14ac:dyDescent="0.25">
      <c r="A140" s="32" t="s">
        <v>96</v>
      </c>
      <c r="B140" s="35">
        <f>E122</f>
        <v>0</v>
      </c>
      <c r="C140" s="30"/>
      <c r="D140" s="30"/>
      <c r="E140" s="30"/>
      <c r="F140" s="30"/>
    </row>
    <row r="141" spans="1:6" x14ac:dyDescent="0.25">
      <c r="A141" s="32" t="s">
        <v>97</v>
      </c>
      <c r="B141" s="35">
        <f>'Costos Generales'!E4</f>
        <v>576.20000000000005</v>
      </c>
      <c r="C141" s="30"/>
      <c r="D141" s="30"/>
      <c r="E141" s="30"/>
      <c r="F141" s="30"/>
    </row>
    <row r="142" spans="1:6" x14ac:dyDescent="0.25">
      <c r="A142" s="41" t="s">
        <v>98</v>
      </c>
      <c r="B142" s="42">
        <f>B140+B141</f>
        <v>576.20000000000005</v>
      </c>
      <c r="C142" s="30"/>
      <c r="D142" s="30"/>
      <c r="E142" s="30"/>
      <c r="F142" s="30"/>
    </row>
    <row r="143" spans="1:6" x14ac:dyDescent="0.25">
      <c r="A143" s="32" t="s">
        <v>99</v>
      </c>
      <c r="B143" s="43"/>
      <c r="C143" s="30"/>
      <c r="D143" s="30"/>
      <c r="E143" s="30"/>
      <c r="F143" s="30"/>
    </row>
    <row r="144" spans="1:6" x14ac:dyDescent="0.25">
      <c r="A144" s="32" t="s">
        <v>100</v>
      </c>
      <c r="B144" s="37"/>
      <c r="C144" s="30"/>
      <c r="D144" s="30"/>
      <c r="E144" s="30"/>
      <c r="F144" s="30"/>
    </row>
    <row r="145" spans="1:6" x14ac:dyDescent="0.25">
      <c r="A145" s="32" t="s">
        <v>101</v>
      </c>
      <c r="B145" s="44">
        <f>IF(OR(B143="",B144="",B144=0),0,(B143*1000)/B144)</f>
        <v>0</v>
      </c>
      <c r="C145" s="30"/>
      <c r="D145" s="30"/>
      <c r="E145" s="30"/>
      <c r="F145" s="30"/>
    </row>
    <row r="146" spans="1:6" x14ac:dyDescent="0.25">
      <c r="A146" s="32" t="s">
        <v>102</v>
      </c>
      <c r="B146" s="35">
        <f>IF(B145=0,0,B142/B145)</f>
        <v>0</v>
      </c>
      <c r="C146" s="30"/>
      <c r="D146" s="30"/>
      <c r="E146" s="30"/>
      <c r="F146" s="30"/>
    </row>
    <row r="147" spans="1:6" x14ac:dyDescent="0.25">
      <c r="A147" s="45" t="s">
        <v>103</v>
      </c>
      <c r="B147" s="46">
        <f>B146/(1-'Costos Generales'!B39)</f>
        <v>0</v>
      </c>
      <c r="C147" s="30"/>
      <c r="D147" s="30"/>
      <c r="E147" s="30"/>
      <c r="F147" s="30"/>
    </row>
    <row r="148" spans="1:6" x14ac:dyDescent="0.25">
      <c r="A148" s="30"/>
      <c r="B148" s="30"/>
      <c r="C148" s="30"/>
      <c r="D148" s="30"/>
      <c r="E148" s="30"/>
      <c r="F148" s="30"/>
    </row>
    <row r="149" spans="1:6" x14ac:dyDescent="0.25">
      <c r="A149" s="30"/>
      <c r="B149" s="30"/>
      <c r="C149" s="30"/>
      <c r="D149" s="30"/>
      <c r="E149" s="30"/>
      <c r="F149" s="30"/>
    </row>
  </sheetData>
  <mergeCells count="12">
    <mergeCell ref="A1:F1"/>
    <mergeCell ref="A5:F5"/>
    <mergeCell ref="A64:D64"/>
    <mergeCell ref="A34:F34"/>
    <mergeCell ref="A3:F3"/>
    <mergeCell ref="A63:F63"/>
    <mergeCell ref="A92:F92"/>
    <mergeCell ref="A121:F121"/>
    <mergeCell ref="A6:D6"/>
    <mergeCell ref="A122:D122"/>
    <mergeCell ref="A35:D35"/>
    <mergeCell ref="A93:D9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9"/>
  <sheetViews>
    <sheetView tabSelected="1" topLeftCell="A16" workbookViewId="0">
      <selection activeCell="A45" sqref="A45"/>
    </sheetView>
  </sheetViews>
  <sheetFormatPr baseColWidth="10" defaultColWidth="9.140625" defaultRowHeight="15" x14ac:dyDescent="0.25"/>
  <cols>
    <col min="1" max="1" width="42" style="2" customWidth="1"/>
    <col min="2" max="2" width="16" style="2" customWidth="1"/>
    <col min="3" max="4" width="13" style="2" customWidth="1"/>
    <col min="5" max="5" width="18" style="2" customWidth="1"/>
    <col min="6" max="6" width="13" style="2" customWidth="1"/>
  </cols>
  <sheetData>
    <row r="1" spans="1:6" ht="18" x14ac:dyDescent="0.25">
      <c r="A1" s="64" t="s">
        <v>115</v>
      </c>
      <c r="B1" s="62"/>
      <c r="C1" s="62"/>
      <c r="D1" s="62"/>
      <c r="E1" s="62"/>
      <c r="F1" s="62"/>
    </row>
    <row r="3" spans="1:6" x14ac:dyDescent="0.25">
      <c r="A3" s="65" t="s">
        <v>91</v>
      </c>
      <c r="B3" s="62"/>
      <c r="C3" s="62"/>
      <c r="D3" s="62"/>
      <c r="E3" s="62"/>
      <c r="F3" s="62"/>
    </row>
    <row r="5" spans="1:6" ht="15.75" x14ac:dyDescent="0.25">
      <c r="A5" s="61" t="s">
        <v>134</v>
      </c>
      <c r="B5" s="62"/>
      <c r="C5" s="62"/>
      <c r="D5" s="62"/>
      <c r="E5" s="62"/>
      <c r="F5" s="62"/>
    </row>
    <row r="6" spans="1:6" x14ac:dyDescent="0.25">
      <c r="A6" s="63" t="s">
        <v>93</v>
      </c>
      <c r="B6" s="59"/>
      <c r="C6" s="59"/>
      <c r="D6" s="60"/>
      <c r="E6" s="29">
        <f>SUM(E8:E23)</f>
        <v>0</v>
      </c>
      <c r="F6" s="30"/>
    </row>
    <row r="7" spans="1:6" ht="30" x14ac:dyDescent="0.25">
      <c r="A7" s="31" t="s">
        <v>77</v>
      </c>
      <c r="B7" s="31" t="s">
        <v>78</v>
      </c>
      <c r="C7" s="31" t="s">
        <v>79</v>
      </c>
      <c r="D7" s="31" t="s">
        <v>94</v>
      </c>
      <c r="E7" s="31" t="s">
        <v>81</v>
      </c>
      <c r="F7" s="30"/>
    </row>
    <row r="8" spans="1:6" x14ac:dyDescent="0.25">
      <c r="A8" s="32"/>
      <c r="B8" s="33"/>
      <c r="C8" s="32" t="s">
        <v>85</v>
      </c>
      <c r="D8" s="34"/>
      <c r="E8" s="35">
        <f>IF(D8="",0,B8*D8)</f>
        <v>0</v>
      </c>
      <c r="F8" s="30"/>
    </row>
    <row r="9" spans="1:6" x14ac:dyDescent="0.25">
      <c r="A9" s="32"/>
      <c r="B9" s="33"/>
      <c r="C9" s="32" t="s">
        <v>85</v>
      </c>
      <c r="D9" s="34"/>
      <c r="E9" s="35">
        <f>IF(D9="",0,B9*D9)</f>
        <v>0</v>
      </c>
      <c r="F9" s="30"/>
    </row>
    <row r="10" spans="1:6" x14ac:dyDescent="0.25">
      <c r="A10" s="36"/>
      <c r="B10" s="37"/>
      <c r="C10" s="32" t="s">
        <v>85</v>
      </c>
      <c r="D10" s="38"/>
      <c r="E10" s="38"/>
      <c r="F10" s="30"/>
    </row>
    <row r="11" spans="1:6" x14ac:dyDescent="0.25">
      <c r="A11" s="32"/>
      <c r="B11" s="39"/>
      <c r="C11" s="32" t="s">
        <v>85</v>
      </c>
      <c r="D11" s="34"/>
      <c r="E11" s="35">
        <f>IF(D11="",0,B11*D11)</f>
        <v>0</v>
      </c>
      <c r="F11" s="30"/>
    </row>
    <row r="12" spans="1:6" x14ac:dyDescent="0.25">
      <c r="A12" s="40"/>
      <c r="B12" s="33"/>
      <c r="C12" s="40"/>
      <c r="D12" s="34"/>
      <c r="E12" s="35">
        <f t="shared" ref="E12:E23" si="0">IF(OR(B12="",D12=""),0,B12*D12)</f>
        <v>0</v>
      </c>
      <c r="F12" s="30"/>
    </row>
    <row r="13" spans="1:6" x14ac:dyDescent="0.25">
      <c r="A13" s="40"/>
      <c r="B13" s="33"/>
      <c r="C13" s="40"/>
      <c r="D13" s="34"/>
      <c r="E13" s="35">
        <f t="shared" si="0"/>
        <v>0</v>
      </c>
      <c r="F13" s="30"/>
    </row>
    <row r="14" spans="1:6" x14ac:dyDescent="0.25">
      <c r="A14" s="40"/>
      <c r="B14" s="33"/>
      <c r="C14" s="40"/>
      <c r="D14" s="34"/>
      <c r="E14" s="35">
        <f t="shared" si="0"/>
        <v>0</v>
      </c>
      <c r="F14" s="30"/>
    </row>
    <row r="15" spans="1:6" x14ac:dyDescent="0.25">
      <c r="A15" s="40"/>
      <c r="B15" s="33"/>
      <c r="C15" s="40"/>
      <c r="D15" s="34"/>
      <c r="E15" s="35">
        <f t="shared" si="0"/>
        <v>0</v>
      </c>
      <c r="F15" s="30"/>
    </row>
    <row r="16" spans="1:6" x14ac:dyDescent="0.25">
      <c r="A16" s="40"/>
      <c r="B16" s="33"/>
      <c r="C16" s="40"/>
      <c r="D16" s="34"/>
      <c r="E16" s="35">
        <f t="shared" si="0"/>
        <v>0</v>
      </c>
      <c r="F16" s="30"/>
    </row>
    <row r="17" spans="1:6" x14ac:dyDescent="0.25">
      <c r="A17" s="40"/>
      <c r="B17" s="33"/>
      <c r="C17" s="40"/>
      <c r="D17" s="34"/>
      <c r="E17" s="35">
        <f t="shared" si="0"/>
        <v>0</v>
      </c>
      <c r="F17" s="30"/>
    </row>
    <row r="18" spans="1:6" x14ac:dyDescent="0.25">
      <c r="A18" s="40"/>
      <c r="B18" s="33"/>
      <c r="C18" s="40"/>
      <c r="D18" s="34"/>
      <c r="E18" s="35">
        <f t="shared" si="0"/>
        <v>0</v>
      </c>
      <c r="F18" s="30"/>
    </row>
    <row r="19" spans="1:6" x14ac:dyDescent="0.25">
      <c r="A19" s="40"/>
      <c r="B19" s="33"/>
      <c r="C19" s="40"/>
      <c r="D19" s="34"/>
      <c r="E19" s="35">
        <f t="shared" si="0"/>
        <v>0</v>
      </c>
      <c r="F19" s="30"/>
    </row>
    <row r="20" spans="1:6" x14ac:dyDescent="0.25">
      <c r="A20" s="40"/>
      <c r="B20" s="33"/>
      <c r="C20" s="40"/>
      <c r="D20" s="34"/>
      <c r="E20" s="35">
        <f t="shared" si="0"/>
        <v>0</v>
      </c>
      <c r="F20" s="30"/>
    </row>
    <row r="21" spans="1:6" x14ac:dyDescent="0.25">
      <c r="A21" s="40"/>
      <c r="B21" s="33"/>
      <c r="C21" s="40"/>
      <c r="D21" s="34"/>
      <c r="E21" s="35">
        <f t="shared" si="0"/>
        <v>0</v>
      </c>
      <c r="F21" s="30"/>
    </row>
    <row r="22" spans="1:6" x14ac:dyDescent="0.25">
      <c r="A22" s="40"/>
      <c r="B22" s="33"/>
      <c r="C22" s="40"/>
      <c r="D22" s="34"/>
      <c r="E22" s="35">
        <f t="shared" si="0"/>
        <v>0</v>
      </c>
      <c r="F22" s="30"/>
    </row>
    <row r="23" spans="1:6" x14ac:dyDescent="0.25">
      <c r="A23" s="40"/>
      <c r="B23" s="33"/>
      <c r="C23" s="40"/>
      <c r="D23" s="34"/>
      <c r="E23" s="35">
        <f t="shared" si="0"/>
        <v>0</v>
      </c>
      <c r="F23" s="30"/>
    </row>
    <row r="24" spans="1:6" x14ac:dyDescent="0.25">
      <c r="A24" s="32" t="s">
        <v>96</v>
      </c>
      <c r="B24" s="35">
        <f>E6</f>
        <v>0</v>
      </c>
      <c r="C24" s="30"/>
      <c r="D24" s="30"/>
      <c r="E24" s="30"/>
      <c r="F24" s="30"/>
    </row>
    <row r="25" spans="1:6" x14ac:dyDescent="0.25">
      <c r="A25" s="32" t="s">
        <v>97</v>
      </c>
      <c r="B25" s="35">
        <f>'Costos Generales'!E4</f>
        <v>576.20000000000005</v>
      </c>
      <c r="C25" s="30"/>
      <c r="D25" s="30"/>
      <c r="E25" s="30"/>
      <c r="F25" s="30"/>
    </row>
    <row r="26" spans="1:6" x14ac:dyDescent="0.25">
      <c r="A26" s="41" t="s">
        <v>98</v>
      </c>
      <c r="B26" s="42">
        <f>B24+B25</f>
        <v>576.20000000000005</v>
      </c>
      <c r="C26" s="30"/>
      <c r="D26" s="30"/>
      <c r="E26" s="30"/>
      <c r="F26" s="30"/>
    </row>
    <row r="27" spans="1:6" x14ac:dyDescent="0.25">
      <c r="A27" s="32" t="s">
        <v>99</v>
      </c>
      <c r="B27" s="43"/>
      <c r="C27" s="30"/>
      <c r="D27" s="30"/>
      <c r="E27" s="30"/>
      <c r="F27" s="30"/>
    </row>
    <row r="28" spans="1:6" x14ac:dyDescent="0.25">
      <c r="A28" s="32" t="s">
        <v>100</v>
      </c>
      <c r="B28" s="37"/>
      <c r="C28" s="30"/>
      <c r="D28" s="30"/>
      <c r="E28" s="30"/>
      <c r="F28" s="30"/>
    </row>
    <row r="29" spans="1:6" x14ac:dyDescent="0.25">
      <c r="A29" s="32" t="s">
        <v>101</v>
      </c>
      <c r="B29" s="44">
        <f>IF(OR(B27="",B28="",B28=0),0,(B27*1000)/B28)</f>
        <v>0</v>
      </c>
      <c r="C29" s="30"/>
      <c r="D29" s="30"/>
      <c r="E29" s="30"/>
      <c r="F29" s="30"/>
    </row>
    <row r="30" spans="1:6" x14ac:dyDescent="0.25">
      <c r="A30" s="32" t="s">
        <v>102</v>
      </c>
      <c r="B30" s="35">
        <f>IF(B29=0,0,B26/B29)</f>
        <v>0</v>
      </c>
      <c r="C30" s="30"/>
      <c r="D30" s="30"/>
      <c r="E30" s="30"/>
      <c r="F30" s="30"/>
    </row>
    <row r="31" spans="1:6" x14ac:dyDescent="0.25">
      <c r="A31" s="45" t="s">
        <v>103</v>
      </c>
      <c r="B31" s="46">
        <f>B30/(1-'Costos Generales'!B39)</f>
        <v>0</v>
      </c>
      <c r="C31" s="30"/>
      <c r="D31" s="30"/>
      <c r="E31" s="30"/>
      <c r="F31" s="30"/>
    </row>
    <row r="32" spans="1:6" x14ac:dyDescent="0.25">
      <c r="A32" s="30"/>
      <c r="B32" s="30"/>
      <c r="C32" s="30"/>
      <c r="D32" s="30"/>
      <c r="E32" s="30"/>
      <c r="F32" s="30"/>
    </row>
    <row r="33" spans="1:6" x14ac:dyDescent="0.25">
      <c r="A33" s="30"/>
      <c r="B33" s="30"/>
      <c r="C33" s="30"/>
      <c r="D33" s="30"/>
      <c r="E33" s="30"/>
      <c r="F33" s="30"/>
    </row>
    <row r="34" spans="1:6" ht="15.75" x14ac:dyDescent="0.25">
      <c r="A34" s="61" t="s">
        <v>135</v>
      </c>
      <c r="B34" s="62"/>
      <c r="C34" s="62"/>
      <c r="D34" s="62"/>
      <c r="E34" s="62"/>
      <c r="F34" s="62"/>
    </row>
    <row r="35" spans="1:6" x14ac:dyDescent="0.25">
      <c r="A35" s="63" t="s">
        <v>93</v>
      </c>
      <c r="B35" s="59"/>
      <c r="C35" s="59"/>
      <c r="D35" s="60"/>
      <c r="E35" s="29">
        <f>SUM(E37:E52)</f>
        <v>0</v>
      </c>
      <c r="F35" s="30"/>
    </row>
    <row r="36" spans="1:6" ht="30" x14ac:dyDescent="0.25">
      <c r="A36" s="31" t="s">
        <v>77</v>
      </c>
      <c r="B36" s="31" t="s">
        <v>78</v>
      </c>
      <c r="C36" s="31" t="s">
        <v>79</v>
      </c>
      <c r="D36" s="31" t="s">
        <v>94</v>
      </c>
      <c r="E36" s="31" t="s">
        <v>81</v>
      </c>
      <c r="F36" s="30"/>
    </row>
    <row r="37" spans="1:6" x14ac:dyDescent="0.25">
      <c r="A37" s="32" t="s">
        <v>160</v>
      </c>
      <c r="B37" s="33">
        <v>8</v>
      </c>
      <c r="C37" s="32" t="s">
        <v>85</v>
      </c>
      <c r="D37" s="34"/>
      <c r="E37" s="35">
        <f>IF(D37="",0,B37*D37)</f>
        <v>0</v>
      </c>
      <c r="F37" s="30"/>
    </row>
    <row r="38" spans="1:6" x14ac:dyDescent="0.25">
      <c r="A38" s="32" t="s">
        <v>106</v>
      </c>
      <c r="B38" s="33">
        <v>4</v>
      </c>
      <c r="C38" s="32" t="s">
        <v>85</v>
      </c>
      <c r="D38" s="34"/>
      <c r="E38" s="35">
        <f>IF(D38="",0,B38*D38)</f>
        <v>0</v>
      </c>
      <c r="F38" s="30"/>
    </row>
    <row r="39" spans="1:6" x14ac:dyDescent="0.25">
      <c r="A39" s="32" t="s">
        <v>150</v>
      </c>
      <c r="B39" s="33">
        <v>2</v>
      </c>
      <c r="C39" s="32" t="s">
        <v>85</v>
      </c>
      <c r="D39" s="34"/>
      <c r="E39" s="35">
        <f>IF(D39="",0,B39*D39)</f>
        <v>0</v>
      </c>
      <c r="F39" s="30"/>
    </row>
    <row r="40" spans="1:6" x14ac:dyDescent="0.25">
      <c r="A40" s="32" t="s">
        <v>107</v>
      </c>
      <c r="B40" s="33">
        <v>2</v>
      </c>
      <c r="C40" s="32" t="s">
        <v>85</v>
      </c>
      <c r="D40" s="34"/>
      <c r="E40" s="35">
        <f>IF(D40="",0,B40*D40)</f>
        <v>0</v>
      </c>
      <c r="F40" s="30"/>
    </row>
    <row r="41" spans="1:6" x14ac:dyDescent="0.25">
      <c r="A41" s="36" t="s">
        <v>105</v>
      </c>
      <c r="B41" s="37">
        <v>10</v>
      </c>
      <c r="C41" s="32" t="s">
        <v>85</v>
      </c>
      <c r="D41" s="38"/>
      <c r="E41" s="38">
        <f>IF(D41="",0,B41*D41)</f>
        <v>0</v>
      </c>
      <c r="F41" s="30"/>
    </row>
    <row r="42" spans="1:6" x14ac:dyDescent="0.25">
      <c r="A42" s="32" t="s">
        <v>165</v>
      </c>
      <c r="B42" s="39">
        <v>1000</v>
      </c>
      <c r="C42" s="32" t="s">
        <v>85</v>
      </c>
      <c r="D42" s="34"/>
      <c r="E42" s="35">
        <f>IF(D42="",0,B42*D42)</f>
        <v>0</v>
      </c>
      <c r="F42" s="30"/>
    </row>
    <row r="43" spans="1:6" x14ac:dyDescent="0.25">
      <c r="A43" s="32" t="s">
        <v>145</v>
      </c>
      <c r="B43" s="39"/>
      <c r="C43" s="32" t="s">
        <v>85</v>
      </c>
      <c r="D43" s="34"/>
      <c r="E43" s="35">
        <f>IF(D43="",0,B43*D43)</f>
        <v>0</v>
      </c>
      <c r="F43" s="30"/>
    </row>
    <row r="44" spans="1:6" x14ac:dyDescent="0.25">
      <c r="A44" s="40" t="s">
        <v>146</v>
      </c>
      <c r="B44" s="33"/>
      <c r="C44" s="40"/>
      <c r="D44" s="34"/>
      <c r="E44" s="35">
        <f t="shared" ref="E44:E52" si="1">IF(OR(B44="",D44=""),0,B44*D44)</f>
        <v>0</v>
      </c>
      <c r="F44" s="30"/>
    </row>
    <row r="45" spans="1:6" x14ac:dyDescent="0.25">
      <c r="A45" s="40"/>
      <c r="B45" s="33"/>
      <c r="C45" s="40"/>
      <c r="D45" s="34"/>
      <c r="E45" s="35">
        <f t="shared" si="1"/>
        <v>0</v>
      </c>
      <c r="F45" s="30"/>
    </row>
    <row r="46" spans="1:6" x14ac:dyDescent="0.25">
      <c r="A46" s="40"/>
      <c r="B46" s="33"/>
      <c r="C46" s="40"/>
      <c r="D46" s="34"/>
      <c r="E46" s="35">
        <f t="shared" si="1"/>
        <v>0</v>
      </c>
      <c r="F46" s="30"/>
    </row>
    <row r="47" spans="1:6" x14ac:dyDescent="0.25">
      <c r="A47" s="40"/>
      <c r="B47" s="33"/>
      <c r="C47" s="40"/>
      <c r="D47" s="34"/>
      <c r="E47" s="35">
        <f t="shared" si="1"/>
        <v>0</v>
      </c>
      <c r="F47" s="30"/>
    </row>
    <row r="48" spans="1:6" x14ac:dyDescent="0.25">
      <c r="A48" s="40"/>
      <c r="B48" s="33"/>
      <c r="C48" s="40"/>
      <c r="D48" s="34"/>
      <c r="E48" s="35">
        <f t="shared" si="1"/>
        <v>0</v>
      </c>
      <c r="F48" s="30"/>
    </row>
    <row r="49" spans="1:6" x14ac:dyDescent="0.25">
      <c r="A49" s="40"/>
      <c r="B49" s="33"/>
      <c r="C49" s="40"/>
      <c r="D49" s="34"/>
      <c r="E49" s="35">
        <f t="shared" si="1"/>
        <v>0</v>
      </c>
      <c r="F49" s="30"/>
    </row>
    <row r="50" spans="1:6" x14ac:dyDescent="0.25">
      <c r="A50" s="40"/>
      <c r="B50" s="33"/>
      <c r="C50" s="40"/>
      <c r="D50" s="34"/>
      <c r="E50" s="35">
        <f t="shared" si="1"/>
        <v>0</v>
      </c>
      <c r="F50" s="30"/>
    </row>
    <row r="51" spans="1:6" x14ac:dyDescent="0.25">
      <c r="A51" s="40"/>
      <c r="B51" s="33"/>
      <c r="C51" s="40"/>
      <c r="D51" s="34"/>
      <c r="E51" s="35">
        <f t="shared" si="1"/>
        <v>0</v>
      </c>
      <c r="F51" s="30"/>
    </row>
    <row r="52" spans="1:6" x14ac:dyDescent="0.25">
      <c r="A52" s="40"/>
      <c r="B52" s="33"/>
      <c r="C52" s="40"/>
      <c r="D52" s="34"/>
      <c r="E52" s="35">
        <f t="shared" si="1"/>
        <v>0</v>
      </c>
      <c r="F52" s="30"/>
    </row>
    <row r="53" spans="1:6" x14ac:dyDescent="0.25">
      <c r="A53" s="32" t="s">
        <v>96</v>
      </c>
      <c r="B53" s="35">
        <f>E35</f>
        <v>0</v>
      </c>
      <c r="C53" s="30"/>
      <c r="D53" s="30"/>
      <c r="E53" s="30"/>
      <c r="F53" s="30"/>
    </row>
    <row r="54" spans="1:6" x14ac:dyDescent="0.25">
      <c r="A54" s="32" t="s">
        <v>97</v>
      </c>
      <c r="B54" s="35">
        <f>'Costos Generales'!E4</f>
        <v>576.20000000000005</v>
      </c>
      <c r="C54" s="30"/>
      <c r="D54" s="30"/>
      <c r="E54" s="30"/>
      <c r="F54" s="30"/>
    </row>
    <row r="55" spans="1:6" x14ac:dyDescent="0.25">
      <c r="A55" s="41" t="s">
        <v>98</v>
      </c>
      <c r="B55" s="42">
        <f>B53+B54</f>
        <v>576.20000000000005</v>
      </c>
      <c r="C55" s="30"/>
      <c r="D55" s="30"/>
      <c r="E55" s="30"/>
      <c r="F55" s="30"/>
    </row>
    <row r="56" spans="1:6" x14ac:dyDescent="0.25">
      <c r="A56" s="32" t="s">
        <v>99</v>
      </c>
      <c r="B56" s="43"/>
      <c r="C56" s="30"/>
      <c r="D56" s="30"/>
      <c r="E56" s="30"/>
      <c r="F56" s="30"/>
    </row>
    <row r="57" spans="1:6" x14ac:dyDescent="0.25">
      <c r="A57" s="32" t="s">
        <v>100</v>
      </c>
      <c r="B57" s="37"/>
      <c r="C57" s="30"/>
      <c r="D57" s="30"/>
      <c r="E57" s="30"/>
      <c r="F57" s="30"/>
    </row>
    <row r="58" spans="1:6" x14ac:dyDescent="0.25">
      <c r="A58" s="32" t="s">
        <v>101</v>
      </c>
      <c r="B58" s="44">
        <f>IF(OR(B56="",B57="",B57=0),0,(B56*1000)/B57)</f>
        <v>0</v>
      </c>
      <c r="C58" s="30"/>
      <c r="D58" s="30"/>
      <c r="E58" s="30"/>
      <c r="F58" s="30"/>
    </row>
    <row r="59" spans="1:6" x14ac:dyDescent="0.25">
      <c r="A59" s="32" t="s">
        <v>102</v>
      </c>
      <c r="B59" s="35">
        <f>IF(B58=0,0,B55/B58)</f>
        <v>0</v>
      </c>
      <c r="C59" s="30"/>
      <c r="D59" s="30"/>
      <c r="E59" s="30"/>
      <c r="F59" s="30"/>
    </row>
    <row r="60" spans="1:6" x14ac:dyDescent="0.25">
      <c r="A60" s="45" t="s">
        <v>103</v>
      </c>
      <c r="B60" s="46">
        <f>B59/(1-'Costos Generales'!B39)</f>
        <v>0</v>
      </c>
      <c r="C60" s="30"/>
      <c r="D60" s="30"/>
      <c r="E60" s="30"/>
      <c r="F60" s="30"/>
    </row>
    <row r="61" spans="1:6" x14ac:dyDescent="0.25">
      <c r="A61" s="30"/>
      <c r="B61" s="30"/>
      <c r="C61" s="30"/>
      <c r="D61" s="30"/>
      <c r="E61" s="30"/>
      <c r="F61" s="30"/>
    </row>
    <row r="62" spans="1:6" x14ac:dyDescent="0.25">
      <c r="A62" s="30"/>
      <c r="B62" s="30"/>
      <c r="C62" s="30"/>
      <c r="D62" s="30"/>
      <c r="E62" s="30"/>
      <c r="F62" s="30"/>
    </row>
    <row r="63" spans="1:6" ht="15.75" x14ac:dyDescent="0.25">
      <c r="A63" s="61" t="s">
        <v>136</v>
      </c>
      <c r="B63" s="62"/>
      <c r="C63" s="62"/>
      <c r="D63" s="62"/>
      <c r="E63" s="62"/>
      <c r="F63" s="62"/>
    </row>
    <row r="64" spans="1:6" x14ac:dyDescent="0.25">
      <c r="A64" s="63" t="s">
        <v>93</v>
      </c>
      <c r="B64" s="59"/>
      <c r="C64" s="59"/>
      <c r="D64" s="60"/>
      <c r="E64" s="29">
        <f>SUM(E66:E81)</f>
        <v>0</v>
      </c>
      <c r="F64" s="30"/>
    </row>
    <row r="65" spans="1:6" ht="30" x14ac:dyDescent="0.25">
      <c r="A65" s="31" t="s">
        <v>77</v>
      </c>
      <c r="B65" s="31" t="s">
        <v>78</v>
      </c>
      <c r="C65" s="31" t="s">
        <v>79</v>
      </c>
      <c r="D65" s="31" t="s">
        <v>94</v>
      </c>
      <c r="E65" s="31" t="s">
        <v>81</v>
      </c>
      <c r="F65" s="30"/>
    </row>
    <row r="66" spans="1:6" x14ac:dyDescent="0.25">
      <c r="A66" s="32"/>
      <c r="B66" s="33"/>
      <c r="C66" s="32" t="s">
        <v>85</v>
      </c>
      <c r="D66" s="34"/>
      <c r="E66" s="35">
        <f t="shared" ref="E66:E71" si="2">IF(D66="",0,B66*D66)</f>
        <v>0</v>
      </c>
      <c r="F66" s="30"/>
    </row>
    <row r="67" spans="1:6" x14ac:dyDescent="0.25">
      <c r="A67" s="32"/>
      <c r="B67" s="33"/>
      <c r="C67" s="32" t="s">
        <v>85</v>
      </c>
      <c r="D67" s="34"/>
      <c r="E67" s="35">
        <f t="shared" si="2"/>
        <v>0</v>
      </c>
      <c r="F67" s="30"/>
    </row>
    <row r="68" spans="1:6" x14ac:dyDescent="0.25">
      <c r="A68" s="32"/>
      <c r="B68" s="33"/>
      <c r="C68" s="32" t="s">
        <v>85</v>
      </c>
      <c r="D68" s="34"/>
      <c r="E68" s="35">
        <f t="shared" si="2"/>
        <v>0</v>
      </c>
      <c r="F68" s="30"/>
    </row>
    <row r="69" spans="1:6" x14ac:dyDescent="0.25">
      <c r="A69" s="32"/>
      <c r="B69" s="33"/>
      <c r="C69" s="32" t="s">
        <v>85</v>
      </c>
      <c r="D69" s="34"/>
      <c r="E69" s="35">
        <f t="shared" si="2"/>
        <v>0</v>
      </c>
      <c r="F69" s="30"/>
    </row>
    <row r="70" spans="1:6" x14ac:dyDescent="0.25">
      <c r="A70" s="32"/>
      <c r="B70" s="33"/>
      <c r="C70" s="32" t="s">
        <v>85</v>
      </c>
      <c r="D70" s="34"/>
      <c r="E70" s="35">
        <f t="shared" si="2"/>
        <v>0</v>
      </c>
      <c r="F70" s="30"/>
    </row>
    <row r="71" spans="1:6" x14ac:dyDescent="0.25">
      <c r="A71" s="32"/>
      <c r="B71" s="33"/>
      <c r="C71" s="32" t="s">
        <v>85</v>
      </c>
      <c r="D71" s="34"/>
      <c r="E71" s="35">
        <f t="shared" si="2"/>
        <v>0</v>
      </c>
      <c r="F71" s="30"/>
    </row>
    <row r="72" spans="1:6" x14ac:dyDescent="0.25">
      <c r="A72" s="36"/>
      <c r="B72" s="37"/>
      <c r="C72" s="32" t="s">
        <v>85</v>
      </c>
      <c r="D72" s="38"/>
      <c r="E72" s="38"/>
      <c r="F72" s="30"/>
    </row>
    <row r="73" spans="1:6" x14ac:dyDescent="0.25">
      <c r="A73" s="32"/>
      <c r="B73" s="39"/>
      <c r="C73" s="32" t="s">
        <v>85</v>
      </c>
      <c r="D73" s="34"/>
      <c r="E73" s="35">
        <f>IF(D73="",0,B73*D73)</f>
        <v>0</v>
      </c>
      <c r="F73" s="30"/>
    </row>
    <row r="74" spans="1:6" x14ac:dyDescent="0.25">
      <c r="A74" s="32"/>
      <c r="B74" s="39"/>
      <c r="C74" s="32" t="s">
        <v>85</v>
      </c>
      <c r="D74" s="34"/>
      <c r="E74" s="35">
        <f>IF(D74="",0,B74*D74)</f>
        <v>0</v>
      </c>
      <c r="F74" s="30"/>
    </row>
    <row r="75" spans="1:6" x14ac:dyDescent="0.25">
      <c r="A75" s="40"/>
      <c r="B75" s="33"/>
      <c r="C75" s="40"/>
      <c r="D75" s="34"/>
      <c r="E75" s="35">
        <f t="shared" ref="E75:E81" si="3">IF(OR(B75="",D75=""),0,B75*D75)</f>
        <v>0</v>
      </c>
      <c r="F75" s="30"/>
    </row>
    <row r="76" spans="1:6" x14ac:dyDescent="0.25">
      <c r="A76" s="40"/>
      <c r="B76" s="33"/>
      <c r="C76" s="40"/>
      <c r="D76" s="34"/>
      <c r="E76" s="35">
        <f t="shared" si="3"/>
        <v>0</v>
      </c>
      <c r="F76" s="30"/>
    </row>
    <row r="77" spans="1:6" x14ac:dyDescent="0.25">
      <c r="A77" s="40"/>
      <c r="B77" s="33"/>
      <c r="C77" s="40"/>
      <c r="D77" s="34"/>
      <c r="E77" s="35">
        <f t="shared" si="3"/>
        <v>0</v>
      </c>
      <c r="F77" s="30"/>
    </row>
    <row r="78" spans="1:6" x14ac:dyDescent="0.25">
      <c r="A78" s="40"/>
      <c r="B78" s="33"/>
      <c r="C78" s="40"/>
      <c r="D78" s="34"/>
      <c r="E78" s="35">
        <f t="shared" si="3"/>
        <v>0</v>
      </c>
      <c r="F78" s="30"/>
    </row>
    <row r="79" spans="1:6" x14ac:dyDescent="0.25">
      <c r="A79" s="40"/>
      <c r="B79" s="33"/>
      <c r="C79" s="40"/>
      <c r="D79" s="34"/>
      <c r="E79" s="35">
        <f t="shared" si="3"/>
        <v>0</v>
      </c>
      <c r="F79" s="30"/>
    </row>
    <row r="80" spans="1:6" x14ac:dyDescent="0.25">
      <c r="A80" s="40"/>
      <c r="B80" s="33"/>
      <c r="C80" s="40"/>
      <c r="D80" s="34"/>
      <c r="E80" s="35">
        <f t="shared" si="3"/>
        <v>0</v>
      </c>
      <c r="F80" s="30"/>
    </row>
    <row r="81" spans="1:6" x14ac:dyDescent="0.25">
      <c r="A81" s="40"/>
      <c r="B81" s="33"/>
      <c r="C81" s="40"/>
      <c r="D81" s="34"/>
      <c r="E81" s="35">
        <f t="shared" si="3"/>
        <v>0</v>
      </c>
      <c r="F81" s="30"/>
    </row>
    <row r="82" spans="1:6" x14ac:dyDescent="0.25">
      <c r="A82" s="32" t="s">
        <v>96</v>
      </c>
      <c r="B82" s="35">
        <f>E64</f>
        <v>0</v>
      </c>
      <c r="C82" s="30"/>
      <c r="D82" s="30"/>
      <c r="E82" s="30"/>
      <c r="F82" s="30"/>
    </row>
    <row r="83" spans="1:6" x14ac:dyDescent="0.25">
      <c r="A83" s="32" t="s">
        <v>97</v>
      </c>
      <c r="B83" s="35">
        <f>'Costos Generales'!E4</f>
        <v>576.20000000000005</v>
      </c>
      <c r="C83" s="30"/>
      <c r="D83" s="30"/>
      <c r="E83" s="30"/>
      <c r="F83" s="30"/>
    </row>
    <row r="84" spans="1:6" x14ac:dyDescent="0.25">
      <c r="A84" s="41" t="s">
        <v>98</v>
      </c>
      <c r="B84" s="42">
        <f>B82+B83</f>
        <v>576.20000000000005</v>
      </c>
      <c r="C84" s="30"/>
      <c r="D84" s="30"/>
      <c r="E84" s="30"/>
      <c r="F84" s="30"/>
    </row>
    <row r="85" spans="1:6" x14ac:dyDescent="0.25">
      <c r="A85" s="32" t="s">
        <v>99</v>
      </c>
      <c r="B85" s="43"/>
      <c r="C85" s="30"/>
      <c r="D85" s="30"/>
      <c r="E85" s="30"/>
      <c r="F85" s="30"/>
    </row>
    <row r="86" spans="1:6" x14ac:dyDescent="0.25">
      <c r="A86" s="32" t="s">
        <v>100</v>
      </c>
      <c r="B86" s="37"/>
      <c r="C86" s="30"/>
      <c r="D86" s="30"/>
      <c r="E86" s="30"/>
      <c r="F86" s="30"/>
    </row>
    <row r="87" spans="1:6" x14ac:dyDescent="0.25">
      <c r="A87" s="32" t="s">
        <v>101</v>
      </c>
      <c r="B87" s="44">
        <f>IF(OR(B85="",B86="",B86=0),0,(B85*1000)/B86)</f>
        <v>0</v>
      </c>
      <c r="C87" s="30"/>
      <c r="D87" s="30"/>
      <c r="E87" s="30"/>
      <c r="F87" s="30"/>
    </row>
    <row r="88" spans="1:6" x14ac:dyDescent="0.25">
      <c r="A88" s="32" t="s">
        <v>102</v>
      </c>
      <c r="B88" s="35">
        <f>IF(B87=0,0,B84/B87)</f>
        <v>0</v>
      </c>
      <c r="C88" s="30"/>
      <c r="D88" s="30"/>
      <c r="E88" s="30"/>
      <c r="F88" s="30"/>
    </row>
    <row r="89" spans="1:6" x14ac:dyDescent="0.25">
      <c r="A89" s="45" t="s">
        <v>103</v>
      </c>
      <c r="B89" s="46">
        <f>B88/(1-'Costos Generales'!B39)</f>
        <v>0</v>
      </c>
      <c r="C89" s="30"/>
      <c r="D89" s="30"/>
      <c r="E89" s="30"/>
      <c r="F89" s="30"/>
    </row>
    <row r="90" spans="1:6" x14ac:dyDescent="0.25">
      <c r="A90" s="30"/>
      <c r="B90" s="30"/>
      <c r="C90" s="30"/>
      <c r="D90" s="30"/>
      <c r="E90" s="30"/>
      <c r="F90" s="30"/>
    </row>
    <row r="91" spans="1:6" x14ac:dyDescent="0.25">
      <c r="A91" s="30"/>
      <c r="B91" s="30"/>
      <c r="C91" s="30"/>
      <c r="D91" s="30"/>
      <c r="E91" s="30"/>
      <c r="F91" s="30"/>
    </row>
    <row r="92" spans="1:6" ht="15.75" x14ac:dyDescent="0.25">
      <c r="A92" s="61" t="s">
        <v>116</v>
      </c>
      <c r="B92" s="62"/>
      <c r="C92" s="62"/>
      <c r="D92" s="62"/>
      <c r="E92" s="62"/>
      <c r="F92" s="62"/>
    </row>
    <row r="93" spans="1:6" x14ac:dyDescent="0.25">
      <c r="A93" s="63" t="s">
        <v>93</v>
      </c>
      <c r="B93" s="59"/>
      <c r="C93" s="59"/>
      <c r="D93" s="60"/>
      <c r="E93" s="29">
        <f>SUM(E95:E110)</f>
        <v>0</v>
      </c>
      <c r="F93" s="30"/>
    </row>
    <row r="94" spans="1:6" ht="30" x14ac:dyDescent="0.25">
      <c r="A94" s="31" t="s">
        <v>77</v>
      </c>
      <c r="B94" s="31" t="s">
        <v>78</v>
      </c>
      <c r="C94" s="31" t="s">
        <v>79</v>
      </c>
      <c r="D94" s="31" t="s">
        <v>94</v>
      </c>
      <c r="E94" s="31" t="s">
        <v>81</v>
      </c>
      <c r="F94" s="30"/>
    </row>
    <row r="95" spans="1:6" x14ac:dyDescent="0.25">
      <c r="A95" s="32"/>
      <c r="B95" s="33"/>
      <c r="C95" s="32" t="s">
        <v>85</v>
      </c>
      <c r="D95" s="34"/>
      <c r="E95" s="35">
        <f>IF(D95="",0,B95*D95)</f>
        <v>0</v>
      </c>
      <c r="F95" s="30"/>
    </row>
    <row r="96" spans="1:6" x14ac:dyDescent="0.25">
      <c r="A96" s="36"/>
      <c r="B96" s="37"/>
      <c r="C96" s="32" t="s">
        <v>85</v>
      </c>
      <c r="D96" s="38"/>
      <c r="E96" s="38"/>
      <c r="F96" s="30"/>
    </row>
    <row r="97" spans="1:6" x14ac:dyDescent="0.25">
      <c r="A97" s="32"/>
      <c r="B97" s="39"/>
      <c r="C97" s="32" t="s">
        <v>85</v>
      </c>
      <c r="D97" s="34"/>
      <c r="E97" s="35">
        <f>IF(D97="",0,B97*D97)</f>
        <v>0</v>
      </c>
      <c r="F97" s="30"/>
    </row>
    <row r="98" spans="1:6" x14ac:dyDescent="0.25">
      <c r="A98" s="36"/>
      <c r="B98" s="37"/>
      <c r="C98" s="32" t="s">
        <v>85</v>
      </c>
      <c r="D98" s="38"/>
      <c r="E98" s="38"/>
      <c r="F98" s="30"/>
    </row>
    <row r="99" spans="1:6" x14ac:dyDescent="0.25">
      <c r="A99" s="32"/>
      <c r="B99" s="39"/>
      <c r="C99" s="32" t="s">
        <v>85</v>
      </c>
      <c r="D99" s="34"/>
      <c r="E99" s="35">
        <f>IF(D99="",0,B99*D99)</f>
        <v>0</v>
      </c>
      <c r="F99" s="30"/>
    </row>
    <row r="100" spans="1:6" x14ac:dyDescent="0.25">
      <c r="A100" s="32"/>
      <c r="B100" s="39"/>
      <c r="C100" s="32" t="s">
        <v>85</v>
      </c>
      <c r="D100" s="34"/>
      <c r="E100" s="35">
        <f>IF(D100="",0,B100*D100)</f>
        <v>0</v>
      </c>
      <c r="F100" s="30"/>
    </row>
    <row r="101" spans="1:6" x14ac:dyDescent="0.25">
      <c r="A101" s="40"/>
      <c r="B101" s="33"/>
      <c r="C101" s="40"/>
      <c r="D101" s="34"/>
      <c r="E101" s="35">
        <f t="shared" ref="E101:E110" si="4">IF(OR(B101="",D101=""),0,B101*D101)</f>
        <v>0</v>
      </c>
      <c r="F101" s="30"/>
    </row>
    <row r="102" spans="1:6" x14ac:dyDescent="0.25">
      <c r="A102" s="40"/>
      <c r="B102" s="33"/>
      <c r="C102" s="40"/>
      <c r="D102" s="34"/>
      <c r="E102" s="35">
        <f t="shared" si="4"/>
        <v>0</v>
      </c>
      <c r="F102" s="30"/>
    </row>
    <row r="103" spans="1:6" x14ac:dyDescent="0.25">
      <c r="A103" s="40"/>
      <c r="B103" s="33"/>
      <c r="C103" s="40"/>
      <c r="D103" s="34"/>
      <c r="E103" s="35">
        <f t="shared" si="4"/>
        <v>0</v>
      </c>
      <c r="F103" s="30"/>
    </row>
    <row r="104" spans="1:6" x14ac:dyDescent="0.25">
      <c r="A104" s="40"/>
      <c r="B104" s="33"/>
      <c r="C104" s="40"/>
      <c r="D104" s="34"/>
      <c r="E104" s="35">
        <f t="shared" si="4"/>
        <v>0</v>
      </c>
      <c r="F104" s="30"/>
    </row>
    <row r="105" spans="1:6" x14ac:dyDescent="0.25">
      <c r="A105" s="40"/>
      <c r="B105" s="33"/>
      <c r="C105" s="40"/>
      <c r="D105" s="34"/>
      <c r="E105" s="35">
        <f t="shared" si="4"/>
        <v>0</v>
      </c>
      <c r="F105" s="30"/>
    </row>
    <row r="106" spans="1:6" x14ac:dyDescent="0.25">
      <c r="A106" s="40"/>
      <c r="B106" s="33"/>
      <c r="C106" s="40"/>
      <c r="D106" s="34"/>
      <c r="E106" s="35">
        <f t="shared" si="4"/>
        <v>0</v>
      </c>
      <c r="F106" s="30"/>
    </row>
    <row r="107" spans="1:6" x14ac:dyDescent="0.25">
      <c r="A107" s="40"/>
      <c r="B107" s="33"/>
      <c r="C107" s="40"/>
      <c r="D107" s="34"/>
      <c r="E107" s="35">
        <f t="shared" si="4"/>
        <v>0</v>
      </c>
      <c r="F107" s="30"/>
    </row>
    <row r="108" spans="1:6" x14ac:dyDescent="0.25">
      <c r="A108" s="40"/>
      <c r="B108" s="33"/>
      <c r="C108" s="40"/>
      <c r="D108" s="34"/>
      <c r="E108" s="35">
        <f t="shared" si="4"/>
        <v>0</v>
      </c>
      <c r="F108" s="30"/>
    </row>
    <row r="109" spans="1:6" x14ac:dyDescent="0.25">
      <c r="A109" s="40"/>
      <c r="B109" s="33"/>
      <c r="C109" s="40"/>
      <c r="D109" s="34"/>
      <c r="E109" s="35">
        <f t="shared" si="4"/>
        <v>0</v>
      </c>
      <c r="F109" s="30"/>
    </row>
    <row r="110" spans="1:6" x14ac:dyDescent="0.25">
      <c r="A110" s="40"/>
      <c r="B110" s="33"/>
      <c r="C110" s="40"/>
      <c r="D110" s="34"/>
      <c r="E110" s="35">
        <f t="shared" si="4"/>
        <v>0</v>
      </c>
      <c r="F110" s="30"/>
    </row>
    <row r="111" spans="1:6" x14ac:dyDescent="0.25">
      <c r="A111" s="32" t="s">
        <v>96</v>
      </c>
      <c r="B111" s="35">
        <f>E93</f>
        <v>0</v>
      </c>
      <c r="C111" s="30"/>
      <c r="D111" s="30"/>
      <c r="E111" s="30"/>
      <c r="F111" s="30"/>
    </row>
    <row r="112" spans="1:6" x14ac:dyDescent="0.25">
      <c r="A112" s="32" t="s">
        <v>97</v>
      </c>
      <c r="B112" s="35">
        <f>'Costos Generales'!E4</f>
        <v>576.20000000000005</v>
      </c>
      <c r="C112" s="30"/>
      <c r="D112" s="30"/>
      <c r="E112" s="30"/>
      <c r="F112" s="30"/>
    </row>
    <row r="113" spans="1:6" x14ac:dyDescent="0.25">
      <c r="A113" s="41" t="s">
        <v>98</v>
      </c>
      <c r="B113" s="42">
        <f>B111+B112</f>
        <v>576.20000000000005</v>
      </c>
      <c r="C113" s="30"/>
      <c r="D113" s="30"/>
      <c r="E113" s="30"/>
      <c r="F113" s="30"/>
    </row>
    <row r="114" spans="1:6" x14ac:dyDescent="0.25">
      <c r="A114" s="32" t="s">
        <v>99</v>
      </c>
      <c r="B114" s="43"/>
      <c r="C114" s="30"/>
      <c r="D114" s="30"/>
      <c r="E114" s="30"/>
      <c r="F114" s="30"/>
    </row>
    <row r="115" spans="1:6" x14ac:dyDescent="0.25">
      <c r="A115" s="32" t="s">
        <v>100</v>
      </c>
      <c r="B115" s="37"/>
      <c r="C115" s="30"/>
      <c r="D115" s="30"/>
      <c r="E115" s="30"/>
      <c r="F115" s="30"/>
    </row>
    <row r="116" spans="1:6" x14ac:dyDescent="0.25">
      <c r="A116" s="32" t="s">
        <v>101</v>
      </c>
      <c r="B116" s="44">
        <f>IF(OR(B114="",B115="",B115=0),0,(B114*1000)/B115)</f>
        <v>0</v>
      </c>
      <c r="C116" s="30"/>
      <c r="D116" s="30"/>
      <c r="E116" s="30"/>
      <c r="F116" s="30"/>
    </row>
    <row r="117" spans="1:6" x14ac:dyDescent="0.25">
      <c r="A117" s="32" t="s">
        <v>102</v>
      </c>
      <c r="B117" s="35">
        <f>IF(B116=0,0,B113/B116)</f>
        <v>0</v>
      </c>
      <c r="C117" s="30"/>
      <c r="D117" s="30"/>
      <c r="E117" s="30"/>
      <c r="F117" s="30"/>
    </row>
    <row r="118" spans="1:6" x14ac:dyDescent="0.25">
      <c r="A118" s="45" t="s">
        <v>103</v>
      </c>
      <c r="B118" s="46">
        <f>B117/(1-'Costos Generales'!B39)</f>
        <v>0</v>
      </c>
      <c r="C118" s="30"/>
      <c r="D118" s="30"/>
      <c r="E118" s="30"/>
      <c r="F118" s="30"/>
    </row>
    <row r="119" spans="1:6" x14ac:dyDescent="0.25">
      <c r="A119" s="30"/>
      <c r="B119" s="30"/>
      <c r="C119" s="30"/>
      <c r="D119" s="30"/>
      <c r="E119" s="30"/>
      <c r="F119" s="30"/>
    </row>
    <row r="120" spans="1:6" x14ac:dyDescent="0.25">
      <c r="A120" s="30"/>
      <c r="B120" s="30"/>
      <c r="C120" s="30"/>
      <c r="D120" s="30"/>
      <c r="E120" s="30"/>
      <c r="F120" s="30"/>
    </row>
    <row r="121" spans="1:6" ht="15.75" x14ac:dyDescent="0.25">
      <c r="A121" s="61" t="s">
        <v>117</v>
      </c>
      <c r="B121" s="62"/>
      <c r="C121" s="62"/>
      <c r="D121" s="62"/>
      <c r="E121" s="62"/>
      <c r="F121" s="62"/>
    </row>
    <row r="122" spans="1:6" x14ac:dyDescent="0.25">
      <c r="A122" s="63" t="s">
        <v>93</v>
      </c>
      <c r="B122" s="59"/>
      <c r="C122" s="59"/>
      <c r="D122" s="60"/>
      <c r="E122" s="29">
        <f>SUM(E124:E139)</f>
        <v>0</v>
      </c>
      <c r="F122" s="30"/>
    </row>
    <row r="123" spans="1:6" ht="30" x14ac:dyDescent="0.25">
      <c r="A123" s="31" t="s">
        <v>77</v>
      </c>
      <c r="B123" s="31" t="s">
        <v>78</v>
      </c>
      <c r="C123" s="31" t="s">
        <v>79</v>
      </c>
      <c r="D123" s="31" t="s">
        <v>94</v>
      </c>
      <c r="E123" s="31" t="s">
        <v>81</v>
      </c>
      <c r="F123" s="30"/>
    </row>
    <row r="124" spans="1:6" x14ac:dyDescent="0.25">
      <c r="A124" s="32"/>
      <c r="B124" s="33"/>
      <c r="C124" s="32" t="s">
        <v>112</v>
      </c>
      <c r="D124" s="34"/>
      <c r="E124" s="35">
        <f t="shared" ref="E124:E130" si="5">IF(D124="",0,B124*D124)</f>
        <v>0</v>
      </c>
      <c r="F124" s="30"/>
    </row>
    <row r="125" spans="1:6" x14ac:dyDescent="0.25">
      <c r="A125" s="32"/>
      <c r="B125" s="33"/>
      <c r="C125" s="32" t="s">
        <v>85</v>
      </c>
      <c r="D125" s="34"/>
      <c r="E125" s="35">
        <f t="shared" si="5"/>
        <v>0</v>
      </c>
      <c r="F125" s="30"/>
    </row>
    <row r="126" spans="1:6" x14ac:dyDescent="0.25">
      <c r="A126" s="32"/>
      <c r="B126" s="33"/>
      <c r="C126" s="32" t="s">
        <v>85</v>
      </c>
      <c r="D126" s="34"/>
      <c r="E126" s="35">
        <f t="shared" si="5"/>
        <v>0</v>
      </c>
      <c r="F126" s="30"/>
    </row>
    <row r="127" spans="1:6" x14ac:dyDescent="0.25">
      <c r="A127" s="32"/>
      <c r="B127" s="33"/>
      <c r="C127" s="32" t="s">
        <v>85</v>
      </c>
      <c r="D127" s="34"/>
      <c r="E127" s="35">
        <f t="shared" si="5"/>
        <v>0</v>
      </c>
      <c r="F127" s="30"/>
    </row>
    <row r="128" spans="1:6" x14ac:dyDescent="0.25">
      <c r="A128" s="32"/>
      <c r="B128" s="33"/>
      <c r="C128" s="32" t="s">
        <v>85</v>
      </c>
      <c r="D128" s="34"/>
      <c r="E128" s="35">
        <f t="shared" si="5"/>
        <v>0</v>
      </c>
      <c r="F128" s="30"/>
    </row>
    <row r="129" spans="1:6" x14ac:dyDescent="0.25">
      <c r="A129" s="32"/>
      <c r="B129" s="33"/>
      <c r="C129" s="32" t="s">
        <v>85</v>
      </c>
      <c r="D129" s="34"/>
      <c r="E129" s="35">
        <f t="shared" si="5"/>
        <v>0</v>
      </c>
      <c r="F129" s="30"/>
    </row>
    <row r="130" spans="1:6" x14ac:dyDescent="0.25">
      <c r="A130" s="32"/>
      <c r="B130" s="33"/>
      <c r="C130" s="32" t="s">
        <v>85</v>
      </c>
      <c r="D130" s="34"/>
      <c r="E130" s="35">
        <f t="shared" si="5"/>
        <v>0</v>
      </c>
      <c r="F130" s="30"/>
    </row>
    <row r="131" spans="1:6" x14ac:dyDescent="0.25">
      <c r="A131" s="36"/>
      <c r="B131" s="37"/>
      <c r="C131" s="32" t="s">
        <v>85</v>
      </c>
      <c r="D131" s="38"/>
      <c r="E131" s="38"/>
      <c r="F131" s="30"/>
    </row>
    <row r="132" spans="1:6" x14ac:dyDescent="0.25">
      <c r="A132" s="32"/>
      <c r="B132" s="39"/>
      <c r="C132" s="32" t="s">
        <v>85</v>
      </c>
      <c r="D132" s="34"/>
      <c r="E132" s="35">
        <f>IF(D132="",0,B132*D132)</f>
        <v>0</v>
      </c>
      <c r="F132" s="30"/>
    </row>
    <row r="133" spans="1:6" x14ac:dyDescent="0.25">
      <c r="A133" s="40"/>
      <c r="B133" s="33"/>
      <c r="C133" s="40"/>
      <c r="D133" s="34"/>
      <c r="E133" s="35">
        <f t="shared" ref="E133:E139" si="6">IF(OR(B133="",D133=""),0,B133*D133)</f>
        <v>0</v>
      </c>
      <c r="F133" s="30"/>
    </row>
    <row r="134" spans="1:6" x14ac:dyDescent="0.25">
      <c r="A134" s="40"/>
      <c r="B134" s="33"/>
      <c r="C134" s="40"/>
      <c r="D134" s="34"/>
      <c r="E134" s="35">
        <f t="shared" si="6"/>
        <v>0</v>
      </c>
      <c r="F134" s="30"/>
    </row>
    <row r="135" spans="1:6" x14ac:dyDescent="0.25">
      <c r="A135" s="40"/>
      <c r="B135" s="33"/>
      <c r="C135" s="40"/>
      <c r="D135" s="34"/>
      <c r="E135" s="35">
        <f t="shared" si="6"/>
        <v>0</v>
      </c>
      <c r="F135" s="30"/>
    </row>
    <row r="136" spans="1:6" x14ac:dyDescent="0.25">
      <c r="A136" s="40"/>
      <c r="B136" s="33"/>
      <c r="C136" s="40"/>
      <c r="D136" s="34"/>
      <c r="E136" s="35">
        <f t="shared" si="6"/>
        <v>0</v>
      </c>
      <c r="F136" s="30"/>
    </row>
    <row r="137" spans="1:6" x14ac:dyDescent="0.25">
      <c r="A137" s="40"/>
      <c r="B137" s="33"/>
      <c r="C137" s="40"/>
      <c r="D137" s="34"/>
      <c r="E137" s="35">
        <f t="shared" si="6"/>
        <v>0</v>
      </c>
      <c r="F137" s="30"/>
    </row>
    <row r="138" spans="1:6" x14ac:dyDescent="0.25">
      <c r="A138" s="40"/>
      <c r="B138" s="33"/>
      <c r="C138" s="40"/>
      <c r="D138" s="34"/>
      <c r="E138" s="35">
        <f t="shared" si="6"/>
        <v>0</v>
      </c>
      <c r="F138" s="30"/>
    </row>
    <row r="139" spans="1:6" x14ac:dyDescent="0.25">
      <c r="A139" s="40"/>
      <c r="B139" s="33"/>
      <c r="C139" s="40"/>
      <c r="D139" s="34"/>
      <c r="E139" s="35">
        <f t="shared" si="6"/>
        <v>0</v>
      </c>
      <c r="F139" s="30"/>
    </row>
    <row r="140" spans="1:6" x14ac:dyDescent="0.25">
      <c r="A140" s="32" t="s">
        <v>96</v>
      </c>
      <c r="B140" s="35">
        <f>E122</f>
        <v>0</v>
      </c>
      <c r="C140" s="30"/>
      <c r="D140" s="30"/>
      <c r="E140" s="30"/>
      <c r="F140" s="30"/>
    </row>
    <row r="141" spans="1:6" x14ac:dyDescent="0.25">
      <c r="A141" s="32" t="s">
        <v>97</v>
      </c>
      <c r="B141" s="35">
        <f>'Costos Generales'!E4</f>
        <v>576.20000000000005</v>
      </c>
      <c r="C141" s="30"/>
      <c r="D141" s="30"/>
      <c r="E141" s="30"/>
      <c r="F141" s="30"/>
    </row>
    <row r="142" spans="1:6" x14ac:dyDescent="0.25">
      <c r="A142" s="41" t="s">
        <v>98</v>
      </c>
      <c r="B142" s="42">
        <f>B140+B141</f>
        <v>576.20000000000005</v>
      </c>
      <c r="C142" s="30"/>
      <c r="D142" s="30"/>
      <c r="E142" s="30"/>
      <c r="F142" s="30"/>
    </row>
    <row r="143" spans="1:6" x14ac:dyDescent="0.25">
      <c r="A143" s="32" t="s">
        <v>99</v>
      </c>
      <c r="B143" s="43"/>
      <c r="C143" s="30"/>
      <c r="D143" s="30"/>
      <c r="E143" s="30"/>
      <c r="F143" s="30"/>
    </row>
    <row r="144" spans="1:6" x14ac:dyDescent="0.25">
      <c r="A144" s="32" t="s">
        <v>100</v>
      </c>
      <c r="B144" s="37"/>
      <c r="C144" s="30"/>
      <c r="D144" s="30"/>
      <c r="E144" s="30"/>
      <c r="F144" s="30"/>
    </row>
    <row r="145" spans="1:6" x14ac:dyDescent="0.25">
      <c r="A145" s="32" t="s">
        <v>101</v>
      </c>
      <c r="B145" s="44">
        <f>IF(OR(B143="",B144="",B144=0),0,(B143*1000)/B144)</f>
        <v>0</v>
      </c>
      <c r="C145" s="30"/>
      <c r="D145" s="30"/>
      <c r="E145" s="30"/>
      <c r="F145" s="30"/>
    </row>
    <row r="146" spans="1:6" x14ac:dyDescent="0.25">
      <c r="A146" s="32" t="s">
        <v>102</v>
      </c>
      <c r="B146" s="35">
        <f>IF(B145=0,0,B142/B145)</f>
        <v>0</v>
      </c>
      <c r="C146" s="30"/>
      <c r="D146" s="30"/>
      <c r="E146" s="30"/>
      <c r="F146" s="30"/>
    </row>
    <row r="147" spans="1:6" x14ac:dyDescent="0.25">
      <c r="A147" s="45" t="s">
        <v>103</v>
      </c>
      <c r="B147" s="46">
        <f>B146/(1-'Costos Generales'!B39)</f>
        <v>0</v>
      </c>
      <c r="C147" s="30"/>
      <c r="D147" s="30"/>
      <c r="E147" s="30"/>
      <c r="F147" s="30"/>
    </row>
    <row r="148" spans="1:6" x14ac:dyDescent="0.25">
      <c r="A148" s="30"/>
      <c r="B148" s="30"/>
      <c r="C148" s="30"/>
      <c r="D148" s="30"/>
      <c r="E148" s="30"/>
      <c r="F148" s="30"/>
    </row>
    <row r="149" spans="1:6" x14ac:dyDescent="0.25">
      <c r="A149" s="30"/>
      <c r="B149" s="30"/>
      <c r="C149" s="30"/>
      <c r="D149" s="30"/>
      <c r="E149" s="30"/>
      <c r="F149" s="30"/>
    </row>
  </sheetData>
  <mergeCells count="12">
    <mergeCell ref="A1:F1"/>
    <mergeCell ref="A5:F5"/>
    <mergeCell ref="A64:D64"/>
    <mergeCell ref="A34:F34"/>
    <mergeCell ref="A3:F3"/>
    <mergeCell ref="A63:F63"/>
    <mergeCell ref="A92:F92"/>
    <mergeCell ref="A121:F121"/>
    <mergeCell ref="A6:D6"/>
    <mergeCell ref="A122:D122"/>
    <mergeCell ref="A35:D35"/>
    <mergeCell ref="A93:D9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9"/>
  <sheetViews>
    <sheetView topLeftCell="A100" workbookViewId="0">
      <selection activeCell="A100" sqref="A100"/>
    </sheetView>
  </sheetViews>
  <sheetFormatPr baseColWidth="10" defaultColWidth="9.140625" defaultRowHeight="15" x14ac:dyDescent="0.25"/>
  <cols>
    <col min="1" max="1" width="42" style="2" customWidth="1"/>
    <col min="2" max="2" width="16" style="2" customWidth="1"/>
    <col min="3" max="4" width="13" style="2" customWidth="1"/>
    <col min="5" max="5" width="18" style="2" customWidth="1"/>
    <col min="6" max="6" width="13" style="2" customWidth="1"/>
  </cols>
  <sheetData>
    <row r="1" spans="1:6" ht="18" x14ac:dyDescent="0.25">
      <c r="A1" s="64" t="s">
        <v>118</v>
      </c>
      <c r="B1" s="62"/>
      <c r="C1" s="62"/>
      <c r="D1" s="62"/>
      <c r="E1" s="62"/>
      <c r="F1" s="62"/>
    </row>
    <row r="3" spans="1:6" x14ac:dyDescent="0.25">
      <c r="A3" s="65" t="s">
        <v>91</v>
      </c>
      <c r="B3" s="62"/>
      <c r="C3" s="62"/>
      <c r="D3" s="62"/>
      <c r="E3" s="62"/>
      <c r="F3" s="62"/>
    </row>
    <row r="5" spans="1:6" ht="15.75" x14ac:dyDescent="0.25">
      <c r="A5" s="61" t="s">
        <v>137</v>
      </c>
      <c r="B5" s="62"/>
      <c r="C5" s="62"/>
      <c r="D5" s="62"/>
      <c r="E5" s="62"/>
      <c r="F5" s="62"/>
    </row>
    <row r="6" spans="1:6" x14ac:dyDescent="0.25">
      <c r="A6" s="63" t="s">
        <v>93</v>
      </c>
      <c r="B6" s="59"/>
      <c r="C6" s="59"/>
      <c r="D6" s="60"/>
      <c r="E6" s="29">
        <f>SUM(E8:E23)</f>
        <v>0</v>
      </c>
      <c r="F6" s="30"/>
    </row>
    <row r="7" spans="1:6" ht="30" x14ac:dyDescent="0.25">
      <c r="A7" s="31" t="s">
        <v>77</v>
      </c>
      <c r="B7" s="31" t="s">
        <v>78</v>
      </c>
      <c r="C7" s="31" t="s">
        <v>79</v>
      </c>
      <c r="D7" s="31" t="s">
        <v>94</v>
      </c>
      <c r="E7" s="31" t="s">
        <v>81</v>
      </c>
      <c r="F7" s="30"/>
    </row>
    <row r="8" spans="1:6" x14ac:dyDescent="0.25">
      <c r="A8" s="32" t="s">
        <v>143</v>
      </c>
      <c r="B8" s="33">
        <v>2</v>
      </c>
      <c r="C8" s="32" t="s">
        <v>85</v>
      </c>
      <c r="D8" s="34"/>
      <c r="E8" s="35">
        <f>IF(D8="",0,B8*D8)</f>
        <v>0</v>
      </c>
      <c r="F8" s="30"/>
    </row>
    <row r="9" spans="1:6" x14ac:dyDescent="0.25">
      <c r="A9" s="32" t="s">
        <v>105</v>
      </c>
      <c r="B9" s="33">
        <v>10</v>
      </c>
      <c r="C9" s="32" t="s">
        <v>85</v>
      </c>
      <c r="D9" s="34"/>
      <c r="E9" s="35">
        <f>IF(D9="",0,B9*D9)</f>
        <v>0</v>
      </c>
      <c r="F9" s="30"/>
    </row>
    <row r="10" spans="1:6" x14ac:dyDescent="0.25">
      <c r="A10" s="36" t="s">
        <v>159</v>
      </c>
      <c r="B10" s="37">
        <v>1000</v>
      </c>
      <c r="C10" s="32" t="s">
        <v>85</v>
      </c>
      <c r="D10" s="38"/>
      <c r="E10" s="38"/>
      <c r="F10" s="30"/>
    </row>
    <row r="11" spans="1:6" x14ac:dyDescent="0.25">
      <c r="A11" s="32" t="s">
        <v>145</v>
      </c>
      <c r="B11" s="39"/>
      <c r="C11" s="32" t="s">
        <v>85</v>
      </c>
      <c r="D11" s="34"/>
      <c r="E11" s="35">
        <f>IF(D11="",0,B11*D11)</f>
        <v>0</v>
      </c>
      <c r="F11" s="30"/>
    </row>
    <row r="12" spans="1:6" x14ac:dyDescent="0.25">
      <c r="A12" s="40" t="s">
        <v>146</v>
      </c>
      <c r="B12" s="33"/>
      <c r="C12" s="40" t="s">
        <v>85</v>
      </c>
      <c r="D12" s="34"/>
      <c r="E12" s="35">
        <f t="shared" ref="E12:E23" si="0">IF(OR(B12="",D12=""),0,B12*D12)</f>
        <v>0</v>
      </c>
      <c r="F12" s="30"/>
    </row>
    <row r="13" spans="1:6" x14ac:dyDescent="0.25">
      <c r="A13" s="40"/>
      <c r="B13" s="33"/>
      <c r="C13" s="40"/>
      <c r="D13" s="34"/>
      <c r="E13" s="35">
        <f t="shared" si="0"/>
        <v>0</v>
      </c>
      <c r="F13" s="30"/>
    </row>
    <row r="14" spans="1:6" x14ac:dyDescent="0.25">
      <c r="A14" s="40"/>
      <c r="B14" s="33"/>
      <c r="C14" s="40"/>
      <c r="D14" s="34"/>
      <c r="E14" s="35">
        <f t="shared" si="0"/>
        <v>0</v>
      </c>
      <c r="F14" s="30"/>
    </row>
    <row r="15" spans="1:6" x14ac:dyDescent="0.25">
      <c r="A15" s="40"/>
      <c r="B15" s="33"/>
      <c r="C15" s="40"/>
      <c r="D15" s="34"/>
      <c r="E15" s="35">
        <f t="shared" si="0"/>
        <v>0</v>
      </c>
      <c r="F15" s="30"/>
    </row>
    <row r="16" spans="1:6" x14ac:dyDescent="0.25">
      <c r="A16" s="40"/>
      <c r="B16" s="33"/>
      <c r="C16" s="40"/>
      <c r="D16" s="34"/>
      <c r="E16" s="35">
        <f t="shared" si="0"/>
        <v>0</v>
      </c>
      <c r="F16" s="30"/>
    </row>
    <row r="17" spans="1:6" x14ac:dyDescent="0.25">
      <c r="A17" s="40"/>
      <c r="B17" s="33"/>
      <c r="C17" s="40"/>
      <c r="D17" s="34"/>
      <c r="E17" s="35">
        <f t="shared" si="0"/>
        <v>0</v>
      </c>
      <c r="F17" s="30"/>
    </row>
    <row r="18" spans="1:6" x14ac:dyDescent="0.25">
      <c r="A18" s="40"/>
      <c r="B18" s="33"/>
      <c r="C18" s="40"/>
      <c r="D18" s="34"/>
      <c r="E18" s="35">
        <f t="shared" si="0"/>
        <v>0</v>
      </c>
      <c r="F18" s="30"/>
    </row>
    <row r="19" spans="1:6" x14ac:dyDescent="0.25">
      <c r="A19" s="40"/>
      <c r="B19" s="33"/>
      <c r="C19" s="40"/>
      <c r="D19" s="34"/>
      <c r="E19" s="35">
        <f t="shared" si="0"/>
        <v>0</v>
      </c>
      <c r="F19" s="30"/>
    </row>
    <row r="20" spans="1:6" x14ac:dyDescent="0.25">
      <c r="A20" s="40"/>
      <c r="B20" s="33"/>
      <c r="C20" s="40"/>
      <c r="D20" s="34"/>
      <c r="E20" s="35">
        <f t="shared" si="0"/>
        <v>0</v>
      </c>
      <c r="F20" s="30"/>
    </row>
    <row r="21" spans="1:6" x14ac:dyDescent="0.25">
      <c r="A21" s="40"/>
      <c r="B21" s="33"/>
      <c r="C21" s="40"/>
      <c r="D21" s="34"/>
      <c r="E21" s="35">
        <f t="shared" si="0"/>
        <v>0</v>
      </c>
      <c r="F21" s="30"/>
    </row>
    <row r="22" spans="1:6" x14ac:dyDescent="0.25">
      <c r="A22" s="40"/>
      <c r="B22" s="33"/>
      <c r="C22" s="40"/>
      <c r="D22" s="34"/>
      <c r="E22" s="35">
        <f t="shared" si="0"/>
        <v>0</v>
      </c>
      <c r="F22" s="30"/>
    </row>
    <row r="23" spans="1:6" x14ac:dyDescent="0.25">
      <c r="A23" s="40"/>
      <c r="B23" s="33"/>
      <c r="C23" s="40"/>
      <c r="D23" s="34"/>
      <c r="E23" s="35">
        <f t="shared" si="0"/>
        <v>0</v>
      </c>
      <c r="F23" s="30"/>
    </row>
    <row r="24" spans="1:6" x14ac:dyDescent="0.25">
      <c r="A24" s="32" t="s">
        <v>96</v>
      </c>
      <c r="B24" s="35">
        <f>E6</f>
        <v>0</v>
      </c>
      <c r="C24" s="30"/>
      <c r="D24" s="30"/>
      <c r="E24" s="30"/>
      <c r="F24" s="30"/>
    </row>
    <row r="25" spans="1:6" x14ac:dyDescent="0.25">
      <c r="A25" s="32" t="s">
        <v>97</v>
      </c>
      <c r="B25" s="35">
        <f>'Costos Generales'!E4</f>
        <v>576.20000000000005</v>
      </c>
      <c r="C25" s="30"/>
      <c r="D25" s="30"/>
      <c r="E25" s="30"/>
      <c r="F25" s="30"/>
    </row>
    <row r="26" spans="1:6" x14ac:dyDescent="0.25">
      <c r="A26" s="41" t="s">
        <v>98</v>
      </c>
      <c r="B26" s="42">
        <f>B24+B25</f>
        <v>576.20000000000005</v>
      </c>
      <c r="C26" s="30"/>
      <c r="D26" s="30"/>
      <c r="E26" s="30"/>
      <c r="F26" s="30"/>
    </row>
    <row r="27" spans="1:6" x14ac:dyDescent="0.25">
      <c r="A27" s="32" t="s">
        <v>99</v>
      </c>
      <c r="B27" s="43"/>
      <c r="C27" s="30"/>
      <c r="D27" s="30"/>
      <c r="E27" s="30"/>
      <c r="F27" s="30"/>
    </row>
    <row r="28" spans="1:6" x14ac:dyDescent="0.25">
      <c r="A28" s="32" t="s">
        <v>100</v>
      </c>
      <c r="B28" s="37"/>
      <c r="C28" s="30"/>
      <c r="D28" s="30"/>
      <c r="E28" s="30"/>
      <c r="F28" s="30"/>
    </row>
    <row r="29" spans="1:6" x14ac:dyDescent="0.25">
      <c r="A29" s="32" t="s">
        <v>101</v>
      </c>
      <c r="B29" s="44">
        <f>IF(OR(B27="",B28="",B28=0),0,(B27*1000)/B28)</f>
        <v>0</v>
      </c>
      <c r="C29" s="30"/>
      <c r="D29" s="30"/>
      <c r="E29" s="30"/>
      <c r="F29" s="30"/>
    </row>
    <row r="30" spans="1:6" x14ac:dyDescent="0.25">
      <c r="A30" s="32" t="s">
        <v>102</v>
      </c>
      <c r="B30" s="35">
        <f>IF(B29=0,0,B26/B29)</f>
        <v>0</v>
      </c>
      <c r="C30" s="30"/>
      <c r="D30" s="30"/>
      <c r="E30" s="30"/>
      <c r="F30" s="30"/>
    </row>
    <row r="31" spans="1:6" x14ac:dyDescent="0.25">
      <c r="A31" s="45" t="s">
        <v>103</v>
      </c>
      <c r="B31" s="46">
        <f>B30/(1-'Costos Generales'!B39)</f>
        <v>0</v>
      </c>
      <c r="C31" s="30"/>
      <c r="D31" s="30"/>
      <c r="E31" s="30"/>
      <c r="F31" s="30"/>
    </row>
    <row r="32" spans="1:6" x14ac:dyDescent="0.25">
      <c r="A32" s="30"/>
      <c r="B32" s="30"/>
      <c r="C32" s="30"/>
      <c r="D32" s="30"/>
      <c r="E32" s="30"/>
      <c r="F32" s="30"/>
    </row>
    <row r="33" spans="1:6" x14ac:dyDescent="0.25">
      <c r="A33" s="30"/>
      <c r="B33" s="30"/>
      <c r="C33" s="30"/>
      <c r="D33" s="30"/>
      <c r="E33" s="30"/>
      <c r="F33" s="30"/>
    </row>
    <row r="34" spans="1:6" ht="15.75" x14ac:dyDescent="0.25">
      <c r="A34" s="61" t="s">
        <v>138</v>
      </c>
      <c r="B34" s="62"/>
      <c r="C34" s="62"/>
      <c r="D34" s="62"/>
      <c r="E34" s="62"/>
      <c r="F34" s="62"/>
    </row>
    <row r="35" spans="1:6" x14ac:dyDescent="0.25">
      <c r="A35" s="63" t="s">
        <v>93</v>
      </c>
      <c r="B35" s="59"/>
      <c r="C35" s="59"/>
      <c r="D35" s="60"/>
      <c r="E35" s="29">
        <f>SUM(E37:E52)</f>
        <v>0</v>
      </c>
      <c r="F35" s="30"/>
    </row>
    <row r="36" spans="1:6" ht="30" x14ac:dyDescent="0.25">
      <c r="A36" s="31" t="s">
        <v>77</v>
      </c>
      <c r="B36" s="31" t="s">
        <v>78</v>
      </c>
      <c r="C36" s="31" t="s">
        <v>79</v>
      </c>
      <c r="D36" s="31" t="s">
        <v>94</v>
      </c>
      <c r="E36" s="31" t="s">
        <v>81</v>
      </c>
      <c r="F36" s="30"/>
    </row>
    <row r="37" spans="1:6" x14ac:dyDescent="0.25">
      <c r="A37" s="32" t="s">
        <v>160</v>
      </c>
      <c r="B37" s="33">
        <v>8</v>
      </c>
      <c r="C37" s="32" t="s">
        <v>85</v>
      </c>
      <c r="D37" s="34"/>
      <c r="E37" s="35">
        <f>IF(D37="",0,B37*D37)</f>
        <v>0</v>
      </c>
      <c r="F37" s="30"/>
    </row>
    <row r="38" spans="1:6" x14ac:dyDescent="0.25">
      <c r="A38" s="32" t="s">
        <v>106</v>
      </c>
      <c r="B38" s="33">
        <v>4</v>
      </c>
      <c r="C38" s="32" t="s">
        <v>85</v>
      </c>
      <c r="D38" s="34"/>
      <c r="E38" s="35">
        <f>IF(D38="",0,B38*D38)</f>
        <v>0</v>
      </c>
      <c r="F38" s="30"/>
    </row>
    <row r="39" spans="1:6" x14ac:dyDescent="0.25">
      <c r="A39" s="32" t="s">
        <v>150</v>
      </c>
      <c r="B39" s="33">
        <v>2</v>
      </c>
      <c r="C39" s="32" t="s">
        <v>85</v>
      </c>
      <c r="D39" s="34"/>
      <c r="E39" s="35">
        <f>IF(D39="",0,B39*D39)</f>
        <v>0</v>
      </c>
      <c r="F39" s="30"/>
    </row>
    <row r="40" spans="1:6" x14ac:dyDescent="0.25">
      <c r="A40" s="32" t="s">
        <v>161</v>
      </c>
      <c r="B40" s="33">
        <v>2</v>
      </c>
      <c r="C40" s="32" t="s">
        <v>85</v>
      </c>
      <c r="D40" s="34"/>
      <c r="E40" s="35">
        <f>IF(D40="",0,B40*D40)</f>
        <v>0</v>
      </c>
      <c r="F40" s="30"/>
    </row>
    <row r="41" spans="1:6" x14ac:dyDescent="0.25">
      <c r="A41" s="36" t="s">
        <v>105</v>
      </c>
      <c r="B41" s="37">
        <v>10</v>
      </c>
      <c r="C41" s="32" t="s">
        <v>85</v>
      </c>
      <c r="D41" s="38"/>
      <c r="E41" s="38">
        <f>IF(D41="",0,B41*D41)</f>
        <v>0</v>
      </c>
      <c r="F41" s="30"/>
    </row>
    <row r="42" spans="1:6" x14ac:dyDescent="0.25">
      <c r="A42" s="32" t="s">
        <v>159</v>
      </c>
      <c r="B42" s="39">
        <v>1000</v>
      </c>
      <c r="C42" s="32" t="s">
        <v>85</v>
      </c>
      <c r="D42" s="34"/>
      <c r="E42" s="35">
        <f>IF(D42="",0,B42*D42)</f>
        <v>0</v>
      </c>
      <c r="F42" s="30"/>
    </row>
    <row r="43" spans="1:6" x14ac:dyDescent="0.25">
      <c r="A43" s="32" t="s">
        <v>145</v>
      </c>
      <c r="B43" s="39"/>
      <c r="C43" s="32" t="s">
        <v>85</v>
      </c>
      <c r="D43" s="34"/>
      <c r="E43" s="35">
        <f>IF(D43="",0,B43*D43)</f>
        <v>0</v>
      </c>
      <c r="F43" s="30"/>
    </row>
    <row r="44" spans="1:6" x14ac:dyDescent="0.25">
      <c r="A44" s="40" t="s">
        <v>146</v>
      </c>
      <c r="B44" s="33"/>
      <c r="C44" s="40" t="s">
        <v>85</v>
      </c>
      <c r="D44" s="34"/>
      <c r="E44" s="35">
        <f t="shared" ref="E44:E52" si="1">IF(OR(B44="",D44=""),0,B44*D44)</f>
        <v>0</v>
      </c>
      <c r="F44" s="30"/>
    </row>
    <row r="45" spans="1:6" x14ac:dyDescent="0.25">
      <c r="A45" s="40"/>
      <c r="B45" s="33"/>
      <c r="C45" s="40"/>
      <c r="D45" s="34"/>
      <c r="E45" s="35">
        <f t="shared" si="1"/>
        <v>0</v>
      </c>
      <c r="F45" s="30"/>
    </row>
    <row r="46" spans="1:6" x14ac:dyDescent="0.25">
      <c r="A46" s="40"/>
      <c r="B46" s="33"/>
      <c r="C46" s="40"/>
      <c r="D46" s="34"/>
      <c r="E46" s="35">
        <f t="shared" si="1"/>
        <v>0</v>
      </c>
      <c r="F46" s="30"/>
    </row>
    <row r="47" spans="1:6" x14ac:dyDescent="0.25">
      <c r="A47" s="40"/>
      <c r="B47" s="33"/>
      <c r="C47" s="40"/>
      <c r="D47" s="34"/>
      <c r="E47" s="35">
        <f t="shared" si="1"/>
        <v>0</v>
      </c>
      <c r="F47" s="30"/>
    </row>
    <row r="48" spans="1:6" x14ac:dyDescent="0.25">
      <c r="A48" s="40"/>
      <c r="B48" s="33"/>
      <c r="C48" s="40"/>
      <c r="D48" s="34"/>
      <c r="E48" s="35">
        <f t="shared" si="1"/>
        <v>0</v>
      </c>
      <c r="F48" s="30"/>
    </row>
    <row r="49" spans="1:6" x14ac:dyDescent="0.25">
      <c r="A49" s="40"/>
      <c r="B49" s="33"/>
      <c r="C49" s="40"/>
      <c r="D49" s="34"/>
      <c r="E49" s="35">
        <f t="shared" si="1"/>
        <v>0</v>
      </c>
      <c r="F49" s="30"/>
    </row>
    <row r="50" spans="1:6" x14ac:dyDescent="0.25">
      <c r="A50" s="40"/>
      <c r="B50" s="33"/>
      <c r="C50" s="40"/>
      <c r="D50" s="34"/>
      <c r="E50" s="35">
        <f t="shared" si="1"/>
        <v>0</v>
      </c>
      <c r="F50" s="30"/>
    </row>
    <row r="51" spans="1:6" x14ac:dyDescent="0.25">
      <c r="A51" s="40"/>
      <c r="B51" s="33"/>
      <c r="C51" s="40"/>
      <c r="D51" s="34"/>
      <c r="E51" s="35">
        <f t="shared" si="1"/>
        <v>0</v>
      </c>
      <c r="F51" s="30"/>
    </row>
    <row r="52" spans="1:6" x14ac:dyDescent="0.25">
      <c r="A52" s="40"/>
      <c r="B52" s="33"/>
      <c r="C52" s="40"/>
      <c r="D52" s="34"/>
      <c r="E52" s="35">
        <f t="shared" si="1"/>
        <v>0</v>
      </c>
      <c r="F52" s="30"/>
    </row>
    <row r="53" spans="1:6" x14ac:dyDescent="0.25">
      <c r="A53" s="32" t="s">
        <v>96</v>
      </c>
      <c r="B53" s="35">
        <f>E35</f>
        <v>0</v>
      </c>
      <c r="C53" s="30"/>
      <c r="D53" s="30"/>
      <c r="E53" s="30"/>
      <c r="F53" s="30"/>
    </row>
    <row r="54" spans="1:6" x14ac:dyDescent="0.25">
      <c r="A54" s="32" t="s">
        <v>97</v>
      </c>
      <c r="B54" s="35">
        <f>'Costos Generales'!E4</f>
        <v>576.20000000000005</v>
      </c>
      <c r="C54" s="30"/>
      <c r="D54" s="30"/>
      <c r="E54" s="30"/>
      <c r="F54" s="30"/>
    </row>
    <row r="55" spans="1:6" x14ac:dyDescent="0.25">
      <c r="A55" s="41" t="s">
        <v>98</v>
      </c>
      <c r="B55" s="42">
        <f>B53+B54</f>
        <v>576.20000000000005</v>
      </c>
      <c r="C55" s="30"/>
      <c r="D55" s="30"/>
      <c r="E55" s="30"/>
      <c r="F55" s="30"/>
    </row>
    <row r="56" spans="1:6" x14ac:dyDescent="0.25">
      <c r="A56" s="32" t="s">
        <v>99</v>
      </c>
      <c r="B56" s="43"/>
      <c r="C56" s="30"/>
      <c r="D56" s="30"/>
      <c r="E56" s="30"/>
      <c r="F56" s="30"/>
    </row>
    <row r="57" spans="1:6" x14ac:dyDescent="0.25">
      <c r="A57" s="32" t="s">
        <v>100</v>
      </c>
      <c r="B57" s="37"/>
      <c r="C57" s="30"/>
      <c r="D57" s="30"/>
      <c r="E57" s="30"/>
      <c r="F57" s="30"/>
    </row>
    <row r="58" spans="1:6" x14ac:dyDescent="0.25">
      <c r="A58" s="32" t="s">
        <v>101</v>
      </c>
      <c r="B58" s="44">
        <f>IF(OR(B56="",B57="",B57=0),0,(B56*1000)/B57)</f>
        <v>0</v>
      </c>
      <c r="C58" s="30"/>
      <c r="D58" s="30"/>
      <c r="E58" s="30"/>
      <c r="F58" s="30"/>
    </row>
    <row r="59" spans="1:6" x14ac:dyDescent="0.25">
      <c r="A59" s="32" t="s">
        <v>102</v>
      </c>
      <c r="B59" s="35">
        <f>IF(B58=0,0,B55/B58)</f>
        <v>0</v>
      </c>
      <c r="C59" s="30"/>
      <c r="D59" s="30"/>
      <c r="E59" s="30"/>
      <c r="F59" s="30"/>
    </row>
    <row r="60" spans="1:6" x14ac:dyDescent="0.25">
      <c r="A60" s="45" t="s">
        <v>103</v>
      </c>
      <c r="B60" s="46">
        <f>B59/(1-'Costos Generales'!B39)</f>
        <v>0</v>
      </c>
      <c r="C60" s="30"/>
      <c r="D60" s="30"/>
      <c r="E60" s="30"/>
      <c r="F60" s="30"/>
    </row>
    <row r="61" spans="1:6" x14ac:dyDescent="0.25">
      <c r="A61" s="30"/>
      <c r="B61" s="30"/>
      <c r="C61" s="30"/>
      <c r="D61" s="30"/>
      <c r="E61" s="30"/>
      <c r="F61" s="30"/>
    </row>
    <row r="62" spans="1:6" x14ac:dyDescent="0.25">
      <c r="A62" s="30"/>
      <c r="B62" s="30"/>
      <c r="C62" s="30"/>
      <c r="D62" s="30"/>
      <c r="E62" s="30"/>
      <c r="F62" s="30"/>
    </row>
    <row r="63" spans="1:6" ht="15.75" x14ac:dyDescent="0.25">
      <c r="A63" s="61" t="s">
        <v>139</v>
      </c>
      <c r="B63" s="62"/>
      <c r="C63" s="62"/>
      <c r="D63" s="62"/>
      <c r="E63" s="62"/>
      <c r="F63" s="62"/>
    </row>
    <row r="64" spans="1:6" x14ac:dyDescent="0.25">
      <c r="A64" s="63" t="s">
        <v>93</v>
      </c>
      <c r="B64" s="59"/>
      <c r="C64" s="59"/>
      <c r="D64" s="60"/>
      <c r="E64" s="29">
        <f>SUM(E66:E81)</f>
        <v>0</v>
      </c>
      <c r="F64" s="30"/>
    </row>
    <row r="65" spans="1:6" ht="30" x14ac:dyDescent="0.25">
      <c r="A65" s="31" t="s">
        <v>77</v>
      </c>
      <c r="B65" s="31" t="s">
        <v>78</v>
      </c>
      <c r="C65" s="31" t="s">
        <v>79</v>
      </c>
      <c r="D65" s="31" t="s">
        <v>94</v>
      </c>
      <c r="E65" s="31" t="s">
        <v>81</v>
      </c>
      <c r="F65" s="30"/>
    </row>
    <row r="66" spans="1:6" x14ac:dyDescent="0.25">
      <c r="A66" s="32" t="s">
        <v>143</v>
      </c>
      <c r="B66" s="33">
        <v>1</v>
      </c>
      <c r="C66" s="32" t="s">
        <v>85</v>
      </c>
      <c r="D66" s="34"/>
      <c r="E66" s="35">
        <f t="shared" ref="E66:E71" si="2">IF(D66="",0,B66*D66)</f>
        <v>0</v>
      </c>
      <c r="F66" s="30"/>
    </row>
    <row r="67" spans="1:6" x14ac:dyDescent="0.25">
      <c r="A67" s="32" t="s">
        <v>107</v>
      </c>
      <c r="B67" s="33">
        <v>1</v>
      </c>
      <c r="C67" s="32" t="s">
        <v>85</v>
      </c>
      <c r="D67" s="34"/>
      <c r="E67" s="35">
        <f t="shared" si="2"/>
        <v>0</v>
      </c>
      <c r="F67" s="30"/>
    </row>
    <row r="68" spans="1:6" x14ac:dyDescent="0.25">
      <c r="A68" s="32" t="s">
        <v>162</v>
      </c>
      <c r="B68" s="33">
        <v>150</v>
      </c>
      <c r="C68" s="32" t="s">
        <v>85</v>
      </c>
      <c r="D68" s="34"/>
      <c r="E68" s="35">
        <f t="shared" si="2"/>
        <v>0</v>
      </c>
      <c r="F68" s="30"/>
    </row>
    <row r="69" spans="1:6" x14ac:dyDescent="0.25">
      <c r="A69" s="32" t="s">
        <v>145</v>
      </c>
      <c r="B69" s="33"/>
      <c r="C69" s="32" t="s">
        <v>85</v>
      </c>
      <c r="D69" s="34"/>
      <c r="E69" s="35">
        <f t="shared" si="2"/>
        <v>0</v>
      </c>
      <c r="F69" s="30"/>
    </row>
    <row r="70" spans="1:6" x14ac:dyDescent="0.25">
      <c r="A70" s="32" t="s">
        <v>146</v>
      </c>
      <c r="B70" s="33"/>
      <c r="C70" s="32" t="s">
        <v>85</v>
      </c>
      <c r="D70" s="34"/>
      <c r="E70" s="35">
        <f t="shared" si="2"/>
        <v>0</v>
      </c>
      <c r="F70" s="30"/>
    </row>
    <row r="71" spans="1:6" x14ac:dyDescent="0.25">
      <c r="A71" s="32" t="s">
        <v>159</v>
      </c>
      <c r="B71" s="33">
        <v>1000</v>
      </c>
      <c r="C71" s="32" t="s">
        <v>85</v>
      </c>
      <c r="D71" s="34"/>
      <c r="E71" s="35">
        <f t="shared" si="2"/>
        <v>0</v>
      </c>
      <c r="F71" s="30"/>
    </row>
    <row r="72" spans="1:6" x14ac:dyDescent="0.25">
      <c r="A72" s="36"/>
      <c r="B72" s="37"/>
      <c r="C72" s="32" t="s">
        <v>85</v>
      </c>
      <c r="D72" s="38"/>
      <c r="E72" s="38"/>
      <c r="F72" s="30"/>
    </row>
    <row r="73" spans="1:6" x14ac:dyDescent="0.25">
      <c r="A73" s="32"/>
      <c r="B73" s="39"/>
      <c r="C73" s="32" t="s">
        <v>85</v>
      </c>
      <c r="D73" s="34"/>
      <c r="E73" s="35">
        <f>IF(D73="",0,B73*D73)</f>
        <v>0</v>
      </c>
      <c r="F73" s="30"/>
    </row>
    <row r="74" spans="1:6" x14ac:dyDescent="0.25">
      <c r="A74" s="32"/>
      <c r="B74" s="39"/>
      <c r="C74" s="32" t="s">
        <v>85</v>
      </c>
      <c r="D74" s="34"/>
      <c r="E74" s="35">
        <f>IF(D74="",0,B74*D74)</f>
        <v>0</v>
      </c>
      <c r="F74" s="30"/>
    </row>
    <row r="75" spans="1:6" x14ac:dyDescent="0.25">
      <c r="A75" s="40"/>
      <c r="B75" s="33"/>
      <c r="C75" s="40"/>
      <c r="D75" s="34"/>
      <c r="E75" s="35">
        <f t="shared" ref="E75:E81" si="3">IF(OR(B75="",D75=""),0,B75*D75)</f>
        <v>0</v>
      </c>
      <c r="F75" s="30"/>
    </row>
    <row r="76" spans="1:6" x14ac:dyDescent="0.25">
      <c r="A76" s="40"/>
      <c r="B76" s="33"/>
      <c r="C76" s="40"/>
      <c r="D76" s="34"/>
      <c r="E76" s="35">
        <f t="shared" si="3"/>
        <v>0</v>
      </c>
      <c r="F76" s="30"/>
    </row>
    <row r="77" spans="1:6" x14ac:dyDescent="0.25">
      <c r="A77" s="40"/>
      <c r="B77" s="33"/>
      <c r="C77" s="40"/>
      <c r="D77" s="34"/>
      <c r="E77" s="35">
        <f t="shared" si="3"/>
        <v>0</v>
      </c>
      <c r="F77" s="30"/>
    </row>
    <row r="78" spans="1:6" x14ac:dyDescent="0.25">
      <c r="A78" s="40"/>
      <c r="B78" s="33"/>
      <c r="C78" s="40"/>
      <c r="D78" s="34"/>
      <c r="E78" s="35">
        <f t="shared" si="3"/>
        <v>0</v>
      </c>
      <c r="F78" s="30"/>
    </row>
    <row r="79" spans="1:6" x14ac:dyDescent="0.25">
      <c r="A79" s="40"/>
      <c r="B79" s="33"/>
      <c r="C79" s="40"/>
      <c r="D79" s="34"/>
      <c r="E79" s="35">
        <f t="shared" si="3"/>
        <v>0</v>
      </c>
      <c r="F79" s="30"/>
    </row>
    <row r="80" spans="1:6" x14ac:dyDescent="0.25">
      <c r="A80" s="40"/>
      <c r="B80" s="33"/>
      <c r="C80" s="40"/>
      <c r="D80" s="34"/>
      <c r="E80" s="35">
        <f t="shared" si="3"/>
        <v>0</v>
      </c>
      <c r="F80" s="30"/>
    </row>
    <row r="81" spans="1:6" x14ac:dyDescent="0.25">
      <c r="A81" s="40"/>
      <c r="B81" s="33"/>
      <c r="C81" s="40"/>
      <c r="D81" s="34"/>
      <c r="E81" s="35">
        <f t="shared" si="3"/>
        <v>0</v>
      </c>
      <c r="F81" s="30"/>
    </row>
    <row r="82" spans="1:6" x14ac:dyDescent="0.25">
      <c r="A82" s="32" t="s">
        <v>96</v>
      </c>
      <c r="B82" s="35">
        <f>E64</f>
        <v>0</v>
      </c>
      <c r="C82" s="30"/>
      <c r="D82" s="30"/>
      <c r="E82" s="30"/>
      <c r="F82" s="30"/>
    </row>
    <row r="83" spans="1:6" x14ac:dyDescent="0.25">
      <c r="A83" s="32" t="s">
        <v>97</v>
      </c>
      <c r="B83" s="35">
        <f>'Costos Generales'!E4</f>
        <v>576.20000000000005</v>
      </c>
      <c r="C83" s="30"/>
      <c r="D83" s="30"/>
      <c r="E83" s="30"/>
      <c r="F83" s="30"/>
    </row>
    <row r="84" spans="1:6" x14ac:dyDescent="0.25">
      <c r="A84" s="41" t="s">
        <v>98</v>
      </c>
      <c r="B84" s="42">
        <f>B82+B83</f>
        <v>576.20000000000005</v>
      </c>
      <c r="C84" s="30"/>
      <c r="D84" s="30"/>
      <c r="E84" s="30"/>
      <c r="F84" s="30"/>
    </row>
    <row r="85" spans="1:6" x14ac:dyDescent="0.25">
      <c r="A85" s="32" t="s">
        <v>99</v>
      </c>
      <c r="B85" s="43"/>
      <c r="C85" s="30"/>
      <c r="D85" s="30"/>
      <c r="E85" s="30"/>
      <c r="F85" s="30"/>
    </row>
    <row r="86" spans="1:6" x14ac:dyDescent="0.25">
      <c r="A86" s="32" t="s">
        <v>100</v>
      </c>
      <c r="B86" s="37"/>
      <c r="C86" s="30"/>
      <c r="D86" s="30"/>
      <c r="E86" s="30"/>
      <c r="F86" s="30"/>
    </row>
    <row r="87" spans="1:6" x14ac:dyDescent="0.25">
      <c r="A87" s="32" t="s">
        <v>101</v>
      </c>
      <c r="B87" s="44">
        <f>IF(OR(B85="",B86="",B86=0),0,(B85*1000)/B86)</f>
        <v>0</v>
      </c>
      <c r="C87" s="30"/>
      <c r="D87" s="30"/>
      <c r="E87" s="30"/>
      <c r="F87" s="30"/>
    </row>
    <row r="88" spans="1:6" x14ac:dyDescent="0.25">
      <c r="A88" s="32" t="s">
        <v>102</v>
      </c>
      <c r="B88" s="35">
        <f>IF(B87=0,0,B84/B87)</f>
        <v>0</v>
      </c>
      <c r="C88" s="30"/>
      <c r="D88" s="30"/>
      <c r="E88" s="30"/>
      <c r="F88" s="30"/>
    </row>
    <row r="89" spans="1:6" x14ac:dyDescent="0.25">
      <c r="A89" s="45" t="s">
        <v>103</v>
      </c>
      <c r="B89" s="46">
        <f>B88/(1-'Costos Generales'!B39)</f>
        <v>0</v>
      </c>
      <c r="C89" s="30"/>
      <c r="D89" s="30"/>
      <c r="E89" s="30"/>
      <c r="F89" s="30"/>
    </row>
    <row r="90" spans="1:6" x14ac:dyDescent="0.25">
      <c r="A90" s="30"/>
      <c r="B90" s="30"/>
      <c r="C90" s="30"/>
      <c r="D90" s="30"/>
      <c r="E90" s="30"/>
      <c r="F90" s="30"/>
    </row>
    <row r="91" spans="1:6" x14ac:dyDescent="0.25">
      <c r="A91" s="30"/>
      <c r="B91" s="30"/>
      <c r="C91" s="30"/>
      <c r="D91" s="30"/>
      <c r="E91" s="30"/>
      <c r="F91" s="30"/>
    </row>
    <row r="92" spans="1:6" ht="15.75" x14ac:dyDescent="0.25">
      <c r="A92" s="61" t="s">
        <v>140</v>
      </c>
      <c r="B92" s="62"/>
      <c r="C92" s="62"/>
      <c r="D92" s="62"/>
      <c r="E92" s="62"/>
      <c r="F92" s="62"/>
    </row>
    <row r="93" spans="1:6" x14ac:dyDescent="0.25">
      <c r="A93" s="63" t="s">
        <v>93</v>
      </c>
      <c r="B93" s="59"/>
      <c r="C93" s="59"/>
      <c r="D93" s="60"/>
      <c r="E93" s="29">
        <f>SUM(E95:E110)</f>
        <v>0</v>
      </c>
      <c r="F93" s="30"/>
    </row>
    <row r="94" spans="1:6" ht="30" x14ac:dyDescent="0.25">
      <c r="A94" s="31" t="s">
        <v>77</v>
      </c>
      <c r="B94" s="31" t="s">
        <v>78</v>
      </c>
      <c r="C94" s="31" t="s">
        <v>79</v>
      </c>
      <c r="D94" s="31" t="s">
        <v>94</v>
      </c>
      <c r="E94" s="31" t="s">
        <v>81</v>
      </c>
      <c r="F94" s="30"/>
    </row>
    <row r="95" spans="1:6" x14ac:dyDescent="0.25">
      <c r="A95" s="32" t="s">
        <v>143</v>
      </c>
      <c r="B95" s="33">
        <v>2</v>
      </c>
      <c r="C95" s="32" t="s">
        <v>85</v>
      </c>
      <c r="D95" s="34"/>
      <c r="E95" s="35">
        <f>IF(D95="",0,B95*D95)</f>
        <v>0</v>
      </c>
      <c r="F95" s="30"/>
    </row>
    <row r="96" spans="1:6" x14ac:dyDescent="0.25">
      <c r="A96" s="36" t="s">
        <v>105</v>
      </c>
      <c r="B96" s="37">
        <v>20</v>
      </c>
      <c r="C96" s="32" t="s">
        <v>85</v>
      </c>
      <c r="D96" s="38"/>
      <c r="E96" s="38"/>
      <c r="F96" s="30"/>
    </row>
    <row r="97" spans="1:6" x14ac:dyDescent="0.25">
      <c r="A97" s="32" t="s">
        <v>164</v>
      </c>
      <c r="B97" s="39">
        <v>60</v>
      </c>
      <c r="C97" s="32" t="s">
        <v>85</v>
      </c>
      <c r="D97" s="34"/>
      <c r="E97" s="35">
        <f>IF(D97="",0,B97*D97)</f>
        <v>0</v>
      </c>
      <c r="F97" s="30"/>
    </row>
    <row r="98" spans="1:6" x14ac:dyDescent="0.25">
      <c r="A98" s="36" t="s">
        <v>159</v>
      </c>
      <c r="B98" s="37">
        <v>1000</v>
      </c>
      <c r="C98" s="32" t="s">
        <v>85</v>
      </c>
      <c r="D98" s="38"/>
      <c r="E98" s="38"/>
      <c r="F98" s="30"/>
    </row>
    <row r="99" spans="1:6" x14ac:dyDescent="0.25">
      <c r="A99" s="32" t="s">
        <v>145</v>
      </c>
      <c r="B99" s="39"/>
      <c r="C99" s="32" t="s">
        <v>85</v>
      </c>
      <c r="D99" s="34"/>
      <c r="E99" s="35">
        <f>IF(D99="",0,B99*D99)</f>
        <v>0</v>
      </c>
      <c r="F99" s="30"/>
    </row>
    <row r="100" spans="1:6" x14ac:dyDescent="0.25">
      <c r="A100" s="32" t="s">
        <v>146</v>
      </c>
      <c r="B100" s="39"/>
      <c r="C100" s="32" t="s">
        <v>85</v>
      </c>
      <c r="D100" s="34"/>
      <c r="E100" s="35">
        <f>IF(D100="",0,B100*D100)</f>
        <v>0</v>
      </c>
      <c r="F100" s="30"/>
    </row>
    <row r="101" spans="1:6" x14ac:dyDescent="0.25">
      <c r="A101" s="40"/>
      <c r="B101" s="33"/>
      <c r="C101" s="40"/>
      <c r="D101" s="34"/>
      <c r="E101" s="35">
        <f t="shared" ref="E101:E110" si="4">IF(OR(B101="",D101=""),0,B101*D101)</f>
        <v>0</v>
      </c>
      <c r="F101" s="30"/>
    </row>
    <row r="102" spans="1:6" x14ac:dyDescent="0.25">
      <c r="A102" s="40"/>
      <c r="B102" s="33"/>
      <c r="C102" s="40"/>
      <c r="D102" s="34"/>
      <c r="E102" s="35">
        <f t="shared" si="4"/>
        <v>0</v>
      </c>
      <c r="F102" s="30"/>
    </row>
    <row r="103" spans="1:6" x14ac:dyDescent="0.25">
      <c r="A103" s="40"/>
      <c r="B103" s="33"/>
      <c r="C103" s="40"/>
      <c r="D103" s="34"/>
      <c r="E103" s="35">
        <f t="shared" si="4"/>
        <v>0</v>
      </c>
      <c r="F103" s="30"/>
    </row>
    <row r="104" spans="1:6" x14ac:dyDescent="0.25">
      <c r="A104" s="40"/>
      <c r="B104" s="33"/>
      <c r="C104" s="40"/>
      <c r="D104" s="34"/>
      <c r="E104" s="35">
        <f t="shared" si="4"/>
        <v>0</v>
      </c>
      <c r="F104" s="30"/>
    </row>
    <row r="105" spans="1:6" x14ac:dyDescent="0.25">
      <c r="A105" s="40"/>
      <c r="B105" s="33"/>
      <c r="C105" s="40"/>
      <c r="D105" s="34"/>
      <c r="E105" s="35">
        <f t="shared" si="4"/>
        <v>0</v>
      </c>
      <c r="F105" s="30"/>
    </row>
    <row r="106" spans="1:6" x14ac:dyDescent="0.25">
      <c r="A106" s="40"/>
      <c r="B106" s="33"/>
      <c r="C106" s="40"/>
      <c r="D106" s="34"/>
      <c r="E106" s="35">
        <f t="shared" si="4"/>
        <v>0</v>
      </c>
      <c r="F106" s="30"/>
    </row>
    <row r="107" spans="1:6" x14ac:dyDescent="0.25">
      <c r="A107" s="40"/>
      <c r="B107" s="33"/>
      <c r="C107" s="40"/>
      <c r="D107" s="34"/>
      <c r="E107" s="35">
        <f t="shared" si="4"/>
        <v>0</v>
      </c>
      <c r="F107" s="30"/>
    </row>
    <row r="108" spans="1:6" x14ac:dyDescent="0.25">
      <c r="A108" s="40"/>
      <c r="B108" s="33"/>
      <c r="C108" s="40"/>
      <c r="D108" s="34"/>
      <c r="E108" s="35">
        <f t="shared" si="4"/>
        <v>0</v>
      </c>
      <c r="F108" s="30"/>
    </row>
    <row r="109" spans="1:6" x14ac:dyDescent="0.25">
      <c r="A109" s="40"/>
      <c r="B109" s="33"/>
      <c r="C109" s="40"/>
      <c r="D109" s="34"/>
      <c r="E109" s="35">
        <f t="shared" si="4"/>
        <v>0</v>
      </c>
      <c r="F109" s="30"/>
    </row>
    <row r="110" spans="1:6" x14ac:dyDescent="0.25">
      <c r="A110" s="40"/>
      <c r="B110" s="33"/>
      <c r="C110" s="40"/>
      <c r="D110" s="34"/>
      <c r="E110" s="35">
        <f t="shared" si="4"/>
        <v>0</v>
      </c>
      <c r="F110" s="30"/>
    </row>
    <row r="111" spans="1:6" x14ac:dyDescent="0.25">
      <c r="A111" s="32" t="s">
        <v>96</v>
      </c>
      <c r="B111" s="35">
        <f>E93</f>
        <v>0</v>
      </c>
      <c r="C111" s="30"/>
      <c r="D111" s="30"/>
      <c r="E111" s="30"/>
      <c r="F111" s="30"/>
    </row>
    <row r="112" spans="1:6" x14ac:dyDescent="0.25">
      <c r="A112" s="32" t="s">
        <v>97</v>
      </c>
      <c r="B112" s="35">
        <f>'Costos Generales'!E4</f>
        <v>576.20000000000005</v>
      </c>
      <c r="C112" s="30"/>
      <c r="D112" s="30"/>
      <c r="E112" s="30"/>
      <c r="F112" s="30"/>
    </row>
    <row r="113" spans="1:6" x14ac:dyDescent="0.25">
      <c r="A113" s="41" t="s">
        <v>98</v>
      </c>
      <c r="B113" s="42">
        <f>B111+B112</f>
        <v>576.20000000000005</v>
      </c>
      <c r="C113" s="30"/>
      <c r="D113" s="30"/>
      <c r="E113" s="30"/>
      <c r="F113" s="30"/>
    </row>
    <row r="114" spans="1:6" x14ac:dyDescent="0.25">
      <c r="A114" s="32" t="s">
        <v>99</v>
      </c>
      <c r="B114" s="43"/>
      <c r="C114" s="30"/>
      <c r="D114" s="30"/>
      <c r="E114" s="30"/>
      <c r="F114" s="30"/>
    </row>
    <row r="115" spans="1:6" x14ac:dyDescent="0.25">
      <c r="A115" s="32" t="s">
        <v>100</v>
      </c>
      <c r="B115" s="37"/>
      <c r="C115" s="30"/>
      <c r="D115" s="30"/>
      <c r="E115" s="30"/>
      <c r="F115" s="30"/>
    </row>
    <row r="116" spans="1:6" x14ac:dyDescent="0.25">
      <c r="A116" s="32" t="s">
        <v>101</v>
      </c>
      <c r="B116" s="44">
        <f>IF(OR(B114="",B115="",B115=0),0,(B114*1000)/B115)</f>
        <v>0</v>
      </c>
      <c r="C116" s="30"/>
      <c r="D116" s="30"/>
      <c r="E116" s="30"/>
      <c r="F116" s="30"/>
    </row>
    <row r="117" spans="1:6" x14ac:dyDescent="0.25">
      <c r="A117" s="32" t="s">
        <v>102</v>
      </c>
      <c r="B117" s="35">
        <f>IF(B116=0,0,B113/B116)</f>
        <v>0</v>
      </c>
      <c r="C117" s="30"/>
      <c r="D117" s="30"/>
      <c r="E117" s="30"/>
      <c r="F117" s="30"/>
    </row>
    <row r="118" spans="1:6" x14ac:dyDescent="0.25">
      <c r="A118" s="45" t="s">
        <v>103</v>
      </c>
      <c r="B118" s="46">
        <f>B117/(1-'Costos Generales'!B39)</f>
        <v>0</v>
      </c>
      <c r="C118" s="30"/>
      <c r="D118" s="30"/>
      <c r="E118" s="30"/>
      <c r="F118" s="30"/>
    </row>
    <row r="119" spans="1:6" x14ac:dyDescent="0.25">
      <c r="A119" s="30"/>
      <c r="B119" s="30"/>
      <c r="C119" s="30"/>
      <c r="D119" s="30"/>
      <c r="E119" s="30"/>
      <c r="F119" s="30"/>
    </row>
    <row r="120" spans="1:6" x14ac:dyDescent="0.25">
      <c r="A120" s="30"/>
      <c r="B120" s="30"/>
      <c r="C120" s="30"/>
      <c r="D120" s="30"/>
      <c r="E120" s="30"/>
      <c r="F120" s="30"/>
    </row>
    <row r="121" spans="1:6" ht="15.75" x14ac:dyDescent="0.25">
      <c r="A121" s="61" t="s">
        <v>163</v>
      </c>
      <c r="B121" s="62"/>
      <c r="C121" s="62"/>
      <c r="D121" s="62"/>
      <c r="E121" s="62"/>
      <c r="F121" s="62"/>
    </row>
    <row r="122" spans="1:6" x14ac:dyDescent="0.25">
      <c r="A122" s="63" t="s">
        <v>93</v>
      </c>
      <c r="B122" s="59"/>
      <c r="C122" s="59"/>
      <c r="D122" s="60"/>
      <c r="E122" s="29">
        <f>SUM(E124:E139)</f>
        <v>0</v>
      </c>
      <c r="F122" s="30"/>
    </row>
    <row r="123" spans="1:6" ht="30" x14ac:dyDescent="0.25">
      <c r="A123" s="31" t="s">
        <v>77</v>
      </c>
      <c r="B123" s="31" t="s">
        <v>78</v>
      </c>
      <c r="C123" s="31" t="s">
        <v>79</v>
      </c>
      <c r="D123" s="31" t="s">
        <v>94</v>
      </c>
      <c r="E123" s="31" t="s">
        <v>81</v>
      </c>
      <c r="F123" s="30"/>
    </row>
    <row r="124" spans="1:6" x14ac:dyDescent="0.25">
      <c r="A124" s="32"/>
      <c r="B124" s="33"/>
      <c r="C124" s="32" t="s">
        <v>112</v>
      </c>
      <c r="D124" s="34"/>
      <c r="E124" s="35">
        <f t="shared" ref="E124:E130" si="5">IF(D124="",0,B124*D124)</f>
        <v>0</v>
      </c>
      <c r="F124" s="30"/>
    </row>
    <row r="125" spans="1:6" x14ac:dyDescent="0.25">
      <c r="A125" s="32"/>
      <c r="B125" s="33"/>
      <c r="C125" s="32" t="s">
        <v>85</v>
      </c>
      <c r="D125" s="34"/>
      <c r="E125" s="35">
        <f t="shared" si="5"/>
        <v>0</v>
      </c>
      <c r="F125" s="30"/>
    </row>
    <row r="126" spans="1:6" x14ac:dyDescent="0.25">
      <c r="A126" s="32"/>
      <c r="B126" s="33"/>
      <c r="C126" s="32" t="s">
        <v>85</v>
      </c>
      <c r="D126" s="34"/>
      <c r="E126" s="35">
        <f t="shared" si="5"/>
        <v>0</v>
      </c>
      <c r="F126" s="30"/>
    </row>
    <row r="127" spans="1:6" x14ac:dyDescent="0.25">
      <c r="A127" s="32"/>
      <c r="B127" s="33"/>
      <c r="C127" s="32" t="s">
        <v>85</v>
      </c>
      <c r="D127" s="34"/>
      <c r="E127" s="35">
        <f t="shared" si="5"/>
        <v>0</v>
      </c>
      <c r="F127" s="30"/>
    </row>
    <row r="128" spans="1:6" x14ac:dyDescent="0.25">
      <c r="A128" s="32"/>
      <c r="B128" s="33"/>
      <c r="C128" s="32" t="s">
        <v>85</v>
      </c>
      <c r="D128" s="34"/>
      <c r="E128" s="35">
        <f t="shared" si="5"/>
        <v>0</v>
      </c>
      <c r="F128" s="30"/>
    </row>
    <row r="129" spans="1:6" x14ac:dyDescent="0.25">
      <c r="A129" s="32"/>
      <c r="B129" s="33"/>
      <c r="C129" s="32" t="s">
        <v>85</v>
      </c>
      <c r="D129" s="34"/>
      <c r="E129" s="35">
        <f t="shared" si="5"/>
        <v>0</v>
      </c>
      <c r="F129" s="30"/>
    </row>
    <row r="130" spans="1:6" x14ac:dyDescent="0.25">
      <c r="A130" s="32"/>
      <c r="B130" s="33"/>
      <c r="C130" s="32" t="s">
        <v>85</v>
      </c>
      <c r="D130" s="34"/>
      <c r="E130" s="35">
        <f t="shared" si="5"/>
        <v>0</v>
      </c>
      <c r="F130" s="30"/>
    </row>
    <row r="131" spans="1:6" x14ac:dyDescent="0.25">
      <c r="A131" s="36"/>
      <c r="B131" s="37"/>
      <c r="C131" s="32" t="s">
        <v>85</v>
      </c>
      <c r="D131" s="38"/>
      <c r="E131" s="38"/>
      <c r="F131" s="30"/>
    </row>
    <row r="132" spans="1:6" x14ac:dyDescent="0.25">
      <c r="A132" s="32"/>
      <c r="B132" s="39"/>
      <c r="C132" s="32" t="s">
        <v>85</v>
      </c>
      <c r="D132" s="34"/>
      <c r="E132" s="35">
        <f>IF(D132="",0,B132*D132)</f>
        <v>0</v>
      </c>
      <c r="F132" s="30"/>
    </row>
    <row r="133" spans="1:6" x14ac:dyDescent="0.25">
      <c r="A133" s="40"/>
      <c r="B133" s="33"/>
      <c r="C133" s="40"/>
      <c r="D133" s="34"/>
      <c r="E133" s="35">
        <f t="shared" ref="E133:E139" si="6">IF(OR(B133="",D133=""),0,B133*D133)</f>
        <v>0</v>
      </c>
      <c r="F133" s="30"/>
    </row>
    <row r="134" spans="1:6" x14ac:dyDescent="0.25">
      <c r="A134" s="40"/>
      <c r="B134" s="33"/>
      <c r="C134" s="40"/>
      <c r="D134" s="34"/>
      <c r="E134" s="35">
        <f t="shared" si="6"/>
        <v>0</v>
      </c>
      <c r="F134" s="30"/>
    </row>
    <row r="135" spans="1:6" x14ac:dyDescent="0.25">
      <c r="A135" s="40"/>
      <c r="B135" s="33"/>
      <c r="C135" s="40"/>
      <c r="D135" s="34"/>
      <c r="E135" s="35">
        <f t="shared" si="6"/>
        <v>0</v>
      </c>
      <c r="F135" s="30"/>
    </row>
    <row r="136" spans="1:6" x14ac:dyDescent="0.25">
      <c r="A136" s="40"/>
      <c r="B136" s="33"/>
      <c r="C136" s="40"/>
      <c r="D136" s="34"/>
      <c r="E136" s="35">
        <f t="shared" si="6"/>
        <v>0</v>
      </c>
      <c r="F136" s="30"/>
    </row>
    <row r="137" spans="1:6" x14ac:dyDescent="0.25">
      <c r="A137" s="40"/>
      <c r="B137" s="33"/>
      <c r="C137" s="40"/>
      <c r="D137" s="34"/>
      <c r="E137" s="35">
        <f t="shared" si="6"/>
        <v>0</v>
      </c>
      <c r="F137" s="30"/>
    </row>
    <row r="138" spans="1:6" x14ac:dyDescent="0.25">
      <c r="A138" s="40"/>
      <c r="B138" s="33"/>
      <c r="C138" s="40"/>
      <c r="D138" s="34"/>
      <c r="E138" s="35">
        <f t="shared" si="6"/>
        <v>0</v>
      </c>
      <c r="F138" s="30"/>
    </row>
    <row r="139" spans="1:6" x14ac:dyDescent="0.25">
      <c r="A139" s="40"/>
      <c r="B139" s="33"/>
      <c r="C139" s="40"/>
      <c r="D139" s="34"/>
      <c r="E139" s="35">
        <f t="shared" si="6"/>
        <v>0</v>
      </c>
      <c r="F139" s="30"/>
    </row>
    <row r="140" spans="1:6" x14ac:dyDescent="0.25">
      <c r="A140" s="32" t="s">
        <v>96</v>
      </c>
      <c r="B140" s="35">
        <f>E122</f>
        <v>0</v>
      </c>
      <c r="C140" s="30"/>
      <c r="D140" s="30"/>
      <c r="E140" s="30"/>
      <c r="F140" s="30"/>
    </row>
    <row r="141" spans="1:6" x14ac:dyDescent="0.25">
      <c r="A141" s="32" t="s">
        <v>97</v>
      </c>
      <c r="B141" s="35">
        <f>'Costos Generales'!E4</f>
        <v>576.20000000000005</v>
      </c>
      <c r="C141" s="30"/>
      <c r="D141" s="30"/>
      <c r="E141" s="30"/>
      <c r="F141" s="30"/>
    </row>
    <row r="142" spans="1:6" x14ac:dyDescent="0.25">
      <c r="A142" s="41" t="s">
        <v>98</v>
      </c>
      <c r="B142" s="42">
        <f>B140+B141</f>
        <v>576.20000000000005</v>
      </c>
      <c r="C142" s="30"/>
      <c r="D142" s="30"/>
      <c r="E142" s="30"/>
      <c r="F142" s="30"/>
    </row>
    <row r="143" spans="1:6" x14ac:dyDescent="0.25">
      <c r="A143" s="32" t="s">
        <v>99</v>
      </c>
      <c r="B143" s="43"/>
      <c r="C143" s="30"/>
      <c r="D143" s="30"/>
      <c r="E143" s="30"/>
      <c r="F143" s="30"/>
    </row>
    <row r="144" spans="1:6" x14ac:dyDescent="0.25">
      <c r="A144" s="32" t="s">
        <v>100</v>
      </c>
      <c r="B144" s="37"/>
      <c r="C144" s="30"/>
      <c r="D144" s="30"/>
      <c r="E144" s="30"/>
      <c r="F144" s="30"/>
    </row>
    <row r="145" spans="1:6" x14ac:dyDescent="0.25">
      <c r="A145" s="32" t="s">
        <v>101</v>
      </c>
      <c r="B145" s="44">
        <f>IF(OR(B143="",B144="",B144=0),0,(B143*1000)/B144)</f>
        <v>0</v>
      </c>
      <c r="C145" s="30"/>
      <c r="D145" s="30"/>
      <c r="E145" s="30"/>
      <c r="F145" s="30"/>
    </row>
    <row r="146" spans="1:6" x14ac:dyDescent="0.25">
      <c r="A146" s="32" t="s">
        <v>102</v>
      </c>
      <c r="B146" s="35">
        <f>IF(B145=0,0,B142/B145)</f>
        <v>0</v>
      </c>
      <c r="C146" s="30"/>
      <c r="D146" s="30"/>
      <c r="E146" s="30"/>
      <c r="F146" s="30"/>
    </row>
    <row r="147" spans="1:6" x14ac:dyDescent="0.25">
      <c r="A147" s="45" t="s">
        <v>103</v>
      </c>
      <c r="B147" s="46">
        <f>B146/(1-'Costos Generales'!B39)</f>
        <v>0</v>
      </c>
      <c r="C147" s="30"/>
      <c r="D147" s="30"/>
      <c r="E147" s="30"/>
      <c r="F147" s="30"/>
    </row>
    <row r="148" spans="1:6" x14ac:dyDescent="0.25">
      <c r="A148" s="30"/>
      <c r="B148" s="30"/>
      <c r="C148" s="30"/>
      <c r="D148" s="30"/>
      <c r="E148" s="30"/>
      <c r="F148" s="30"/>
    </row>
    <row r="149" spans="1:6" x14ac:dyDescent="0.25">
      <c r="A149" s="30"/>
      <c r="B149" s="30"/>
      <c r="C149" s="30"/>
      <c r="D149" s="30"/>
      <c r="E149" s="30"/>
      <c r="F149" s="30"/>
    </row>
  </sheetData>
  <mergeCells count="12">
    <mergeCell ref="A1:F1"/>
    <mergeCell ref="A5:F5"/>
    <mergeCell ref="A64:D64"/>
    <mergeCell ref="A34:F34"/>
    <mergeCell ref="A3:F3"/>
    <mergeCell ref="A63:F63"/>
    <mergeCell ref="A92:F92"/>
    <mergeCell ref="A121:F121"/>
    <mergeCell ref="A6:D6"/>
    <mergeCell ref="A122:D122"/>
    <mergeCell ref="A35:D35"/>
    <mergeCell ref="A93:D9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showGridLines="0" zoomScaleNormal="100" workbookViewId="0">
      <pane ySplit="3" topLeftCell="A4" activePane="bottomLeft" state="frozen"/>
      <selection pane="bottomLeft" sqref="A1:F1"/>
    </sheetView>
  </sheetViews>
  <sheetFormatPr baseColWidth="10" defaultColWidth="8.7109375" defaultRowHeight="15" x14ac:dyDescent="0.25"/>
  <cols>
    <col min="1" max="1" width="26" style="1" customWidth="1"/>
    <col min="2" max="6" width="15" style="1" customWidth="1"/>
  </cols>
  <sheetData>
    <row r="1" spans="1:6" ht="25.5" customHeight="1" x14ac:dyDescent="0.25">
      <c r="A1" s="56" t="s">
        <v>119</v>
      </c>
      <c r="B1" s="55"/>
      <c r="C1" s="55"/>
      <c r="D1" s="55"/>
      <c r="E1" s="55"/>
      <c r="F1" s="55"/>
    </row>
    <row r="3" spans="1:6" ht="25.5" customHeight="1" x14ac:dyDescent="0.25">
      <c r="A3" s="12" t="s">
        <v>120</v>
      </c>
      <c r="B3" s="12" t="s">
        <v>121</v>
      </c>
      <c r="C3" s="12" t="s">
        <v>122</v>
      </c>
      <c r="D3" s="12" t="s">
        <v>123</v>
      </c>
      <c r="E3" s="12" t="s">
        <v>124</v>
      </c>
      <c r="F3" s="12" t="s">
        <v>125</v>
      </c>
    </row>
    <row r="4" spans="1:6" ht="15" customHeight="1" x14ac:dyDescent="0.25">
      <c r="A4" s="47" t="str">
        <f>'Recetas Pollo'!A5</f>
        <v>Suprema Tradicional (Pollo)</v>
      </c>
      <c r="B4" s="47">
        <f>'Recetas Pollo'!B31</f>
        <v>0</v>
      </c>
      <c r="C4" s="47"/>
      <c r="D4" s="47" t="str">
        <f>IF(OR(C4="",C4=0),"",C4*(1-'Costos Generales'!B38)-B4)</f>
        <v/>
      </c>
      <c r="E4" s="47" t="str">
        <f t="shared" ref="E4:E18" si="0">IF(OR(D4="",C4="",C4=0),"",D4/C4)</f>
        <v/>
      </c>
      <c r="F4" s="47" t="str">
        <f t="shared" ref="F4:F18" si="1">IF(OR(C4="",C4=0),"",B4/C4)</f>
        <v/>
      </c>
    </row>
    <row r="5" spans="1:6" ht="15" customHeight="1" x14ac:dyDescent="0.25">
      <c r="A5" s="47" t="str">
        <f>'Recetas Pollo'!A34</f>
        <v>Suprema Parmesana (Pollo)</v>
      </c>
      <c r="B5" s="47">
        <f>'Recetas Pollo'!B60</f>
        <v>0</v>
      </c>
      <c r="C5" s="47"/>
      <c r="D5" s="47" t="str">
        <f>IF(OR(C5="",C5=0),"",C5*(1-'Costos Generales'!B38)-B5)</f>
        <v/>
      </c>
      <c r="E5" s="47" t="str">
        <f t="shared" si="0"/>
        <v/>
      </c>
      <c r="F5" s="47" t="str">
        <f t="shared" si="1"/>
        <v/>
      </c>
    </row>
    <row r="6" spans="1:6" ht="15" customHeight="1" x14ac:dyDescent="0.25">
      <c r="A6" s="47" t="str">
        <f>'Recetas Pollo'!A63</f>
        <v>Suprema Crunch (Pollo)</v>
      </c>
      <c r="B6" s="47">
        <f>'Recetas Pollo'!B89</f>
        <v>0</v>
      </c>
      <c r="C6" s="47"/>
      <c r="D6" s="47" t="str">
        <f>IF(OR(C6="",C6=0),"",C6*(1-'Costos Generales'!B38)-B6)</f>
        <v/>
      </c>
      <c r="E6" s="47" t="str">
        <f t="shared" si="0"/>
        <v/>
      </c>
      <c r="F6" s="47" t="str">
        <f t="shared" si="1"/>
        <v/>
      </c>
    </row>
    <row r="7" spans="1:6" ht="15" customHeight="1" x14ac:dyDescent="0.25">
      <c r="A7" s="47" t="str">
        <f>'Recetas Pollo'!A92</f>
        <v>Suprema Rellena (Pollo)</v>
      </c>
      <c r="B7" s="47">
        <f>'Recetas Pollo'!B118</f>
        <v>0</v>
      </c>
      <c r="C7" s="47"/>
      <c r="D7" s="47" t="str">
        <f>IF(OR(C7="",C7=0),"",C7*(1-'Costos Generales'!B38)-B7)</f>
        <v/>
      </c>
      <c r="E7" s="47" t="str">
        <f t="shared" si="0"/>
        <v/>
      </c>
      <c r="F7" s="47" t="str">
        <f t="shared" si="1"/>
        <v/>
      </c>
    </row>
    <row r="8" spans="1:6" ht="15" customHeight="1" x14ac:dyDescent="0.25">
      <c r="A8" s="47" t="str">
        <f>'Recetas Pollo'!A121</f>
        <v>Suprema Finas Hierbas (Pollo)</v>
      </c>
      <c r="B8" s="47">
        <f>'Recetas Pollo'!B147</f>
        <v>0</v>
      </c>
      <c r="C8" s="47"/>
      <c r="D8" s="47" t="str">
        <f>IF(OR(C8="",C8=0),"",C8*(1-'Costos Generales'!B38)-B8)</f>
        <v/>
      </c>
      <c r="E8" s="47" t="str">
        <f t="shared" si="0"/>
        <v/>
      </c>
      <c r="F8" s="47" t="str">
        <f t="shared" si="1"/>
        <v/>
      </c>
    </row>
    <row r="9" spans="1:6" ht="15" customHeight="1" x14ac:dyDescent="0.25">
      <c r="A9" s="47" t="str">
        <f>'Recetas Vaca'!A5</f>
        <v xml:space="preserve">Vacuno Tradicional </v>
      </c>
      <c r="B9" s="47">
        <f>'Recetas Vaca'!B31</f>
        <v>0</v>
      </c>
      <c r="C9" s="47"/>
      <c r="D9" s="47" t="str">
        <f>IF(OR(C9="",C9=0),"",C9*(1-'Costos Generales'!B38)-B9)</f>
        <v/>
      </c>
      <c r="E9" s="47" t="str">
        <f t="shared" si="0"/>
        <v/>
      </c>
      <c r="F9" s="47" t="str">
        <f t="shared" si="1"/>
        <v/>
      </c>
    </row>
    <row r="10" spans="1:6" ht="15" customHeight="1" x14ac:dyDescent="0.25">
      <c r="A10" s="47" t="str">
        <f>'Recetas Vaca'!A34</f>
        <v>Vacuno Ahumado</v>
      </c>
      <c r="B10" s="47">
        <f>'Recetas Vaca'!B60</f>
        <v>0</v>
      </c>
      <c r="C10" s="47"/>
      <c r="D10" s="47" t="str">
        <f>IF(OR(C10="",C10=0),"",C10*(1-'Costos Generales'!B38)-B10)</f>
        <v/>
      </c>
      <c r="E10" s="47" t="str">
        <f t="shared" si="0"/>
        <v/>
      </c>
      <c r="F10" s="47" t="str">
        <f t="shared" si="1"/>
        <v/>
      </c>
    </row>
    <row r="11" spans="1:6" ht="15" customHeight="1" x14ac:dyDescent="0.25">
      <c r="A11" s="47" t="str">
        <f>'Recetas Vaca'!A63</f>
        <v>Vacuno Picante</v>
      </c>
      <c r="B11" s="47">
        <f>'Recetas Vaca'!B89</f>
        <v>0</v>
      </c>
      <c r="C11" s="47"/>
      <c r="D11" s="47" t="str">
        <f>IF(OR(C11="",C11=0),"",C11*(1-'Costos Generales'!B38)-B11)</f>
        <v/>
      </c>
      <c r="E11" s="47" t="str">
        <f t="shared" si="0"/>
        <v/>
      </c>
      <c r="F11" s="47" t="str">
        <f t="shared" si="1"/>
        <v/>
      </c>
    </row>
    <row r="12" spans="1:6" ht="15" customHeight="1" x14ac:dyDescent="0.25">
      <c r="A12" s="47" t="str">
        <f>'Recetas Vaca'!A92</f>
        <v>Milanesa de Bola de Lomo Rellena (Vaca)</v>
      </c>
      <c r="B12" s="47">
        <f>'Recetas Vaca'!B118</f>
        <v>0</v>
      </c>
      <c r="C12" s="47"/>
      <c r="D12" s="47" t="str">
        <f>IF(OR(C12="",C12=0),"",C12*(1-'Costos Generales'!B38)-B12)</f>
        <v/>
      </c>
      <c r="E12" s="47" t="str">
        <f t="shared" si="0"/>
        <v/>
      </c>
      <c r="F12" s="47" t="str">
        <f t="shared" si="1"/>
        <v/>
      </c>
    </row>
    <row r="13" spans="1:6" ht="15" customHeight="1" x14ac:dyDescent="0.25">
      <c r="A13" s="47" t="str">
        <f>'Recetas Vaca'!A121</f>
        <v>Milanesa Ajo y Perejil (Vaca)</v>
      </c>
      <c r="B13" s="47">
        <f>'Recetas Vaca'!B147</f>
        <v>0</v>
      </c>
      <c r="C13" s="47"/>
      <c r="D13" s="47" t="str">
        <f>IF(OR(C13="",C13=0),"",C13*(1-'Costos Generales'!B38)-B13)</f>
        <v/>
      </c>
      <c r="E13" s="47" t="str">
        <f t="shared" si="0"/>
        <v/>
      </c>
      <c r="F13" s="47" t="str">
        <f t="shared" si="1"/>
        <v/>
      </c>
    </row>
    <row r="14" spans="1:6" ht="15" customHeight="1" x14ac:dyDescent="0.25">
      <c r="A14" s="47" t="str">
        <f>'Recetas Cerdo'!A5</f>
        <v>Cerdo Tradicional</v>
      </c>
      <c r="B14" s="47">
        <f>'Recetas Cerdo'!B31</f>
        <v>0</v>
      </c>
      <c r="C14" s="47"/>
      <c r="D14" s="47" t="str">
        <f>IF(OR(C14="",C14=0),"",C14*(1-'Costos Generales'!B38)-B14)</f>
        <v/>
      </c>
      <c r="E14" s="47" t="str">
        <f t="shared" si="0"/>
        <v/>
      </c>
      <c r="F14" s="47" t="str">
        <f t="shared" si="1"/>
        <v/>
      </c>
    </row>
    <row r="15" spans="1:6" ht="15" customHeight="1" x14ac:dyDescent="0.25">
      <c r="A15" s="47" t="str">
        <f>'Recetas Cerdo'!A34</f>
        <v>Cerdo Ahumado</v>
      </c>
      <c r="B15" s="47">
        <f>'Recetas Cerdo'!B60</f>
        <v>0</v>
      </c>
      <c r="C15" s="47"/>
      <c r="D15" s="47" t="str">
        <f>IF(OR(C15="",C15=0),"",C15*(1-'Costos Generales'!B38)-B15)</f>
        <v/>
      </c>
      <c r="E15" s="47" t="str">
        <f t="shared" si="0"/>
        <v/>
      </c>
      <c r="F15" s="47" t="str">
        <f t="shared" si="1"/>
        <v/>
      </c>
    </row>
    <row r="16" spans="1:6" ht="15" customHeight="1" x14ac:dyDescent="0.25">
      <c r="A16" s="47" t="str">
        <f>'Recetas Cerdo'!A63</f>
        <v>Cerdo Fugazzeta</v>
      </c>
      <c r="B16" s="47">
        <f>'Recetas Cerdo'!B89</f>
        <v>0</v>
      </c>
      <c r="C16" s="47"/>
      <c r="D16" s="47" t="str">
        <f>IF(OR(C16="",C16=0),"",C16*(1-'Costos Generales'!B38)-B16)</f>
        <v/>
      </c>
      <c r="E16" s="47" t="str">
        <f t="shared" si="0"/>
        <v/>
      </c>
      <c r="F16" s="47" t="str">
        <f t="shared" si="1"/>
        <v/>
      </c>
    </row>
    <row r="17" spans="1:6" ht="15" customHeight="1" x14ac:dyDescent="0.25">
      <c r="A17" s="47" t="str">
        <f>'Recetas Cerdo'!A92</f>
        <v>Cerdo Mostaza y Miel</v>
      </c>
      <c r="B17" s="47">
        <f>'Recetas Cerdo'!B118</f>
        <v>0</v>
      </c>
      <c r="C17" s="47"/>
      <c r="D17" s="47" t="str">
        <f>IF(OR(C17="",C17=0),"",C17*(1-'Costos Generales'!B38)-B17)</f>
        <v/>
      </c>
      <c r="E17" s="47" t="str">
        <f t="shared" si="0"/>
        <v/>
      </c>
      <c r="F17" s="47" t="str">
        <f t="shared" si="1"/>
        <v/>
      </c>
    </row>
    <row r="18" spans="1:6" ht="15" customHeight="1" x14ac:dyDescent="0.25">
      <c r="A18" s="47" t="str">
        <f>'Recetas Cerdo'!A121</f>
        <v>Indefinido</v>
      </c>
      <c r="B18" s="47">
        <f>'Recetas Cerdo'!B147</f>
        <v>0</v>
      </c>
      <c r="C18" s="47"/>
      <c r="D18" s="47" t="str">
        <f>IF(OR(C18="",C18=0),"",C18*(1-'Costos Generales'!B38)-B18)</f>
        <v/>
      </c>
      <c r="E18" s="47" t="str">
        <f t="shared" si="0"/>
        <v/>
      </c>
      <c r="F18" s="47" t="str">
        <f t="shared" si="1"/>
        <v/>
      </c>
    </row>
    <row r="19" spans="1:6" ht="15" customHeight="1" x14ac:dyDescent="0.25">
      <c r="A19" s="16"/>
      <c r="B19" s="8"/>
      <c r="C19" s="14"/>
      <c r="D19" s="8"/>
      <c r="E19" s="8"/>
      <c r="F19" s="8"/>
    </row>
    <row r="20" spans="1:6" ht="15" customHeight="1" x14ac:dyDescent="0.25">
      <c r="A20" s="48" t="s">
        <v>126</v>
      </c>
      <c r="B20" s="49">
        <f>IFERROR(AVERAGEIFS(B4:B18,$C$4:$C$18,"&gt;0"),0)</f>
        <v>0</v>
      </c>
      <c r="C20" s="50">
        <f>IFERROR(AVERAGEIFS(C4:C18,$C$4:$C$18,"&gt;0"),0)</f>
        <v>0</v>
      </c>
      <c r="D20" s="49">
        <f>IFERROR(AVERAGEIFS(D4:D18,$C$4:$C$18,"&gt;0"),0)</f>
        <v>0</v>
      </c>
      <c r="E20" s="49">
        <f>IFERROR(AVERAGEIFS(E4:E18,$C$4:$C$18,"&gt;0"),0)</f>
        <v>0</v>
      </c>
      <c r="F20" s="49">
        <f>IFERROR(AVERAGEIFS(F4:F18,$C$4:$C$18,"&gt;0"),0)</f>
        <v>0</v>
      </c>
    </row>
    <row r="21" spans="1:6" ht="15" customHeight="1" x14ac:dyDescent="0.25">
      <c r="A21" s="16"/>
      <c r="B21" s="8"/>
      <c r="C21" s="14"/>
      <c r="D21" s="8"/>
      <c r="E21" s="8"/>
      <c r="F21" s="8"/>
    </row>
    <row r="22" spans="1:6" ht="15" customHeight="1" x14ac:dyDescent="0.25">
      <c r="A22" s="16"/>
      <c r="B22" s="8"/>
      <c r="C22" s="14"/>
      <c r="D22" s="8"/>
      <c r="E22" s="8"/>
      <c r="F22" s="8"/>
    </row>
    <row r="23" spans="1:6" ht="15" customHeight="1" x14ac:dyDescent="0.25">
      <c r="A23" s="16"/>
      <c r="B23" s="8"/>
      <c r="C23" s="14"/>
      <c r="D23" s="8"/>
      <c r="E23" s="8"/>
      <c r="F23" s="8"/>
    </row>
    <row r="24" spans="1:6" ht="15" customHeight="1" x14ac:dyDescent="0.25">
      <c r="A24" s="16"/>
      <c r="B24" s="8"/>
      <c r="C24" s="14"/>
      <c r="D24" s="8"/>
      <c r="E24" s="8"/>
      <c r="F24" s="8"/>
    </row>
    <row r="25" spans="1:6" ht="15" customHeight="1" x14ac:dyDescent="0.25">
      <c r="A25" s="16"/>
      <c r="B25" s="8"/>
      <c r="C25" s="14"/>
      <c r="D25" s="8"/>
      <c r="E25" s="8"/>
      <c r="F25" s="8"/>
    </row>
    <row r="26" spans="1:6" ht="15" customHeight="1" x14ac:dyDescent="0.25">
      <c r="A26" s="16"/>
      <c r="B26" s="8"/>
      <c r="C26" s="14"/>
      <c r="D26" s="8"/>
      <c r="E26" s="8"/>
      <c r="F26" s="8"/>
    </row>
    <row r="27" spans="1:6" ht="15" customHeight="1" x14ac:dyDescent="0.25">
      <c r="A27" s="16"/>
      <c r="B27" s="8"/>
      <c r="C27" s="14"/>
      <c r="D27" s="8"/>
      <c r="E27" s="8"/>
      <c r="F27" s="8"/>
    </row>
    <row r="28" spans="1:6" ht="15" customHeight="1" x14ac:dyDescent="0.25">
      <c r="A28" s="16"/>
      <c r="B28" s="8"/>
      <c r="C28" s="14"/>
      <c r="D28" s="8"/>
      <c r="E28" s="8"/>
      <c r="F28" s="8"/>
    </row>
    <row r="29" spans="1:6" ht="15" customHeight="1" x14ac:dyDescent="0.25">
      <c r="A29" s="16"/>
      <c r="B29" s="8"/>
      <c r="C29" s="14"/>
      <c r="D29" s="8"/>
      <c r="E29" s="8"/>
      <c r="F29" s="8"/>
    </row>
    <row r="31" spans="1:6" ht="15" customHeight="1" x14ac:dyDescent="0.25">
      <c r="A31" s="19"/>
      <c r="B31" s="20"/>
      <c r="C31" s="20"/>
      <c r="D31" s="20"/>
      <c r="E31" s="51"/>
      <c r="F31" s="51"/>
    </row>
    <row r="33" spans="1:6" ht="15" customHeight="1" x14ac:dyDescent="0.25">
      <c r="A33" s="66"/>
      <c r="B33" s="55"/>
      <c r="C33" s="55"/>
      <c r="D33" s="55"/>
      <c r="E33" s="55"/>
      <c r="F33" s="55"/>
    </row>
  </sheetData>
  <mergeCells count="2">
    <mergeCell ref="A33:F33"/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showGridLines="0" zoomScaleNormal="100" workbookViewId="0">
      <selection sqref="A1:C1"/>
    </sheetView>
  </sheetViews>
  <sheetFormatPr baseColWidth="10" defaultColWidth="8.7109375" defaultRowHeight="15" x14ac:dyDescent="0.25"/>
  <cols>
    <col min="1" max="1" width="34" style="1" customWidth="1"/>
    <col min="2" max="3" width="20" style="1" customWidth="1"/>
  </cols>
  <sheetData>
    <row r="1" spans="1:3" ht="25.5" customHeight="1" x14ac:dyDescent="0.25">
      <c r="A1" s="56" t="s">
        <v>127</v>
      </c>
      <c r="B1" s="55"/>
      <c r="C1" s="55"/>
    </row>
    <row r="3" spans="1:3" ht="15" customHeight="1" x14ac:dyDescent="0.25">
      <c r="A3" s="13" t="s">
        <v>128</v>
      </c>
      <c r="B3" s="18">
        <f>'Costos Fijos'!B3</f>
        <v>1765000</v>
      </c>
    </row>
    <row r="4" spans="1:3" ht="26.85" customHeight="1" x14ac:dyDescent="0.25">
      <c r="A4" s="52" t="s">
        <v>129</v>
      </c>
      <c r="B4" s="18">
        <f>'Precios y Márgenes'!D20</f>
        <v>0</v>
      </c>
    </row>
    <row r="6" spans="1:3" ht="39.6" customHeight="1" x14ac:dyDescent="0.25">
      <c r="A6" s="53" t="s">
        <v>130</v>
      </c>
      <c r="B6" s="19" t="str">
        <f>IF(B4&lt;=0,"N/D",ROUNDUP(B3/B4,0))</f>
        <v>N/D</v>
      </c>
    </row>
    <row r="7" spans="1:3" ht="26.85" customHeight="1" x14ac:dyDescent="0.25">
      <c r="A7" s="52" t="s">
        <v>131</v>
      </c>
      <c r="B7" s="13" t="str">
        <f>IF(B6="N/D","N/D",ROUNDUP(B6/26,0))</f>
        <v>N/D</v>
      </c>
    </row>
    <row r="10" spans="1:3" ht="49.5" customHeight="1" x14ac:dyDescent="0.25">
      <c r="A10" s="67" t="s">
        <v>132</v>
      </c>
      <c r="B10" s="55"/>
      <c r="C10" s="55"/>
    </row>
  </sheetData>
  <mergeCells count="2">
    <mergeCell ref="A1:C1"/>
    <mergeCell ref="A10:C1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Instrucciones</vt:lpstr>
      <vt:lpstr>Costos Fijos</vt:lpstr>
      <vt:lpstr>Capital Aportado</vt:lpstr>
      <vt:lpstr>Costos Generales</vt:lpstr>
      <vt:lpstr>Recetas Pollo</vt:lpstr>
      <vt:lpstr>Recetas Vaca</vt:lpstr>
      <vt:lpstr>Recetas Cerdo</vt:lpstr>
      <vt:lpstr>Precios y Márgenes</vt:lpstr>
      <vt:lpstr>Punto de Equilibrio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cp:revision>0</cp:revision>
  <dcterms:created xsi:type="dcterms:W3CDTF">2026-09-14T19:02:33Z</dcterms:created>
  <dcterms:modified xsi:type="dcterms:W3CDTF">2026-10-06T14:11:43Z</dcterms:modified>
  <dc:language>en-US</dc:language>
</cp:coreProperties>
</file>